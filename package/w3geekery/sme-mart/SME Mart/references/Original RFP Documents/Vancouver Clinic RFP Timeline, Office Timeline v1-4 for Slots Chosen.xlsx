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healthinnovativesolutions.sharepoint.com/sites/H-I-SCorporate/Shared Documents/General/Vancouver Clinic/"/>
    </mc:Choice>
  </mc:AlternateContent>
  <xr:revisionPtr revIDLastSave="0" documentId="8_{5AC05DCF-D707-4741-8E9E-0BE64F1BD543}" xr6:coauthVersionLast="47" xr6:coauthVersionMax="47" xr10:uidLastSave="{00000000-0000-0000-0000-000000000000}"/>
  <bookViews>
    <workbookView xWindow="28695" yWindow="0" windowWidth="14610" windowHeight="15465" activeTab="1" xr2:uid="{42696733-F6DA-4D44-A3F4-FAF16ADA077C}"/>
  </bookViews>
  <sheets>
    <sheet name="Sheet2" sheetId="2" r:id="rId1"/>
    <sheet name="Named Bidding Entiti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3" l="1"/>
  <c r="E53" i="3"/>
  <c r="E52" i="3"/>
  <c r="E50" i="3"/>
  <c r="E49" i="3"/>
  <c r="E48" i="3"/>
  <c r="E47" i="3"/>
  <c r="E45" i="3"/>
  <c r="E44" i="3"/>
  <c r="E43" i="3"/>
  <c r="E42" i="3"/>
  <c r="E40" i="3"/>
  <c r="E39" i="3"/>
  <c r="E38" i="3"/>
  <c r="E37" i="3"/>
  <c r="E35" i="3"/>
  <c r="E34" i="3"/>
  <c r="E33" i="3"/>
  <c r="E32" i="3"/>
  <c r="E30" i="3"/>
  <c r="E29" i="3"/>
  <c r="E28" i="3"/>
  <c r="E27" i="3"/>
  <c r="E26" i="3"/>
  <c r="E25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7" i="3"/>
  <c r="E6" i="3"/>
  <c r="E5" i="3"/>
  <c r="E4" i="3"/>
  <c r="E54" i="2"/>
  <c r="E53" i="2"/>
  <c r="E52" i="2"/>
  <c r="E45" i="2"/>
  <c r="E44" i="2"/>
  <c r="E43" i="2"/>
  <c r="E42" i="2"/>
  <c r="E40" i="2"/>
  <c r="E39" i="2"/>
  <c r="E38" i="2"/>
  <c r="E37" i="2"/>
  <c r="E47" i="2"/>
  <c r="E35" i="2"/>
  <c r="E34" i="2"/>
  <c r="E33" i="2"/>
  <c r="E32" i="2"/>
  <c r="E50" i="2" l="1"/>
  <c r="E49" i="2"/>
  <c r="E48" i="2"/>
  <c r="E28" i="2"/>
  <c r="E27" i="2"/>
  <c r="E26" i="2"/>
  <c r="E30" i="2"/>
  <c r="E29" i="2"/>
  <c r="E25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4" i="2"/>
  <c r="E5" i="2"/>
  <c r="E6" i="2"/>
  <c r="E7" i="2"/>
</calcChain>
</file>

<file path=xl/sharedStrings.xml><?xml version="1.0" encoding="utf-8"?>
<sst xmlns="http://schemas.openxmlformats.org/spreadsheetml/2006/main" count="116" uniqueCount="57">
  <si>
    <t>HIMSS 2025, Las Vegas, NV - Final Determination of Bidding Entities</t>
  </si>
  <si>
    <t>Vancouver Clinic Document Sign-Off for Release of RFP</t>
  </si>
  <si>
    <t>RFP Released to Bidding Entities and Direct Communication</t>
  </si>
  <si>
    <t>Bid Response Management</t>
  </si>
  <si>
    <t>Formal questions period (in writing)</t>
  </si>
  <si>
    <t>Bidders prepare RFP Responses</t>
  </si>
  <si>
    <t>RFP Kick-Off Call with Bidding Entities</t>
  </si>
  <si>
    <t>Notifications of “Intent” due</t>
  </si>
  <si>
    <t>Bidding Entity 1 Conference</t>
  </si>
  <si>
    <t>Bidding Entity 2 Conference</t>
  </si>
  <si>
    <t>Bidding Entity 3 Conference</t>
  </si>
  <si>
    <t>Bidding Entity 4 Conference</t>
  </si>
  <si>
    <t>Bidding Entity 5 Conference</t>
  </si>
  <si>
    <t>Bidding Entity 6 Conference</t>
  </si>
  <si>
    <t>Bidding Entity 7 Conference</t>
  </si>
  <si>
    <t>Release of Addendum to RFP (if necessary)</t>
  </si>
  <si>
    <t>Open Conference Call | Addendum to RFP</t>
  </si>
  <si>
    <t>RFP Responses Due / Categorized and Distributed</t>
  </si>
  <si>
    <t>Review &amp; Scoring</t>
  </si>
  <si>
    <t>Vancouver Clinic reviews RFP Responses</t>
  </si>
  <si>
    <t>Passover (Jewish Holidays)</t>
  </si>
  <si>
    <t>Easter Sunday</t>
  </si>
  <si>
    <t>Scoring Review and Presenter Selection</t>
  </si>
  <si>
    <t>Notification to Presenters</t>
  </si>
  <si>
    <t>Scheduling for Onsite Presentation Visits by Vancouver Clinic</t>
  </si>
  <si>
    <t>Presenting Entity 1 Presentation</t>
  </si>
  <si>
    <t>Presenting Entity 2 Presentation</t>
  </si>
  <si>
    <t>Presenting Entity 3 Presentation</t>
  </si>
  <si>
    <t>Presenting Entity 4 Presentation</t>
  </si>
  <si>
    <t>Final Selection</t>
  </si>
  <si>
    <t>Vancouver Clinic conducts final internal reviews</t>
  </si>
  <si>
    <t>Vancouver Clinic I H-I-S Notifies Bidder moving to Contract</t>
  </si>
  <si>
    <t>Contracting Process Conducted by Vancouver Clinic I H-I-S Program Complete</t>
  </si>
  <si>
    <t>Start date</t>
  </si>
  <si>
    <t>End date</t>
  </si>
  <si>
    <t>Preparation &amp; Process Management</t>
  </si>
  <si>
    <t>Description</t>
  </si>
  <si>
    <t>Notify Initial seven (7) Bidding Entities on Pending RFP Release &amp; Schedule</t>
  </si>
  <si>
    <t>Working Days</t>
  </si>
  <si>
    <t>Executive / Sales Presentations (Not for Demonstations)</t>
  </si>
  <si>
    <t>Presenting Entity 1</t>
  </si>
  <si>
    <t>Presenting Entity 2</t>
  </si>
  <si>
    <t>Presenting Entity 3</t>
  </si>
  <si>
    <t>Presenting Entity 4</t>
  </si>
  <si>
    <t>Clinical Reviews / Demonstrations | Radiology</t>
  </si>
  <si>
    <t>Clinical Reviews / Demonstrations | Mammography / Women's Imaging</t>
  </si>
  <si>
    <t>Clinical Reviews / Demionstrations | Cardiology</t>
  </si>
  <si>
    <t>Document Creation / Re;ease Schedule</t>
  </si>
  <si>
    <t>Reviews, Presentations, and Demonstrations</t>
  </si>
  <si>
    <t>Updated March 12, 2025</t>
  </si>
  <si>
    <t>Bidding Entity 6 Conference (Fuji)</t>
  </si>
  <si>
    <t>Bidding Entity 4 Conference (Intelerad)</t>
  </si>
  <si>
    <t>Bidding Entity 1 Conference (Merge)</t>
  </si>
  <si>
    <t>Bidding Entity 2 Conference (Optum)</t>
  </si>
  <si>
    <t>Bidding Entity 3 Conference (GE)</t>
  </si>
  <si>
    <t>Bidding Entity 5 Conference (Sectra)</t>
  </si>
  <si>
    <t>Bidding Entity 7 Conference (Visage)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</si>
</sst>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</font>
    <font>
      <sz val="8"/>
      <name val="Aptos Narrow"/>
      <family val="2"/>
      <scheme val="minor"/>
    </font>
    <font>
      <b/>
      <sz val="11"/>
      <color theme="0"/>
      <name val="Aptos Black"/>
      <family val="2"/>
    </font>
    <font>
      <sz val="11"/>
      <color theme="0"/>
      <name val="Aptos Narrow"/>
      <family val="2"/>
    </font>
    <font>
      <sz val="11"/>
      <color theme="1"/>
      <name val="Aptos Narrow"/>
      <family val="2"/>
    </font>
    <font>
      <b/>
      <i/>
      <sz val="11"/>
      <color theme="5"/>
      <name val="Aptos Narrow"/>
      <family val="2"/>
    </font>
    <font>
      <i/>
      <sz val="11"/>
      <color theme="5"/>
      <name val="Aptos Narrow"/>
      <family val="2"/>
    </font>
    <font>
      <b/>
      <sz val="11"/>
      <color theme="5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Display"/>
      <family val="2"/>
    </font>
    <font>
      <b/>
      <sz val="11"/>
      <color theme="0"/>
      <name val="Aptos ExtraBold"/>
      <family val="2"/>
    </font>
    <font>
      <b/>
      <sz val="11"/>
      <color theme="1"/>
      <name val="Aptos Narrow"/>
      <family val="2"/>
    </font>
    <font>
      <b/>
      <sz val="11"/>
      <color theme="1"/>
      <name val="Aptos SemiBold"/>
      <family val="2"/>
    </font>
  </fonts>
  <fills count="1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EE8EF"/>
        <bgColor indexed="64"/>
      </patternFill>
    </fill>
    <fill>
      <patternFill patternType="solid">
        <fgColor rgb="FFD0DEE8"/>
        <bgColor indexed="64"/>
      </patternFill>
    </fill>
    <fill>
      <patternFill patternType="solid">
        <fgColor rgb="FFB7CCDB"/>
        <bgColor indexed="64"/>
      </patternFill>
    </fill>
    <fill>
      <patternFill patternType="solid">
        <fgColor rgb="FF93B2C9"/>
        <bgColor indexed="64"/>
      </patternFill>
    </fill>
    <fill>
      <patternFill patternType="solid">
        <fgColor rgb="FF7AA0BC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3" fillId="4" borderId="3" xfId="0" applyFont="1" applyFill="1" applyBorder="1" applyAlignment="1">
      <alignment horizontal="center" wrapText="1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5" fillId="0" borderId="0" xfId="0" applyFont="1" applyAlignment="1">
      <alignment horizontal="left" indent="3"/>
    </xf>
    <xf numFmtId="16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left" indent="3"/>
    </xf>
    <xf numFmtId="164" fontId="7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9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10" fillId="0" borderId="0" xfId="0" applyFont="1"/>
    <xf numFmtId="0" fontId="11" fillId="3" borderId="3" xfId="0" applyFont="1" applyFill="1" applyBorder="1" applyAlignment="1">
      <alignment horizontal="center"/>
    </xf>
    <xf numFmtId="0" fontId="12" fillId="5" borderId="0" xfId="0" applyFont="1" applyFill="1" applyAlignment="1">
      <alignment horizontal="left" indent="1"/>
    </xf>
    <xf numFmtId="0" fontId="12" fillId="5" borderId="0" xfId="0" applyFont="1" applyFill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2" fillId="6" borderId="0" xfId="0" applyFont="1" applyFill="1" applyAlignment="1">
      <alignment horizontal="left" indent="1"/>
    </xf>
    <xf numFmtId="0" fontId="12" fillId="6" borderId="0" xfId="0" applyFont="1" applyFill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2" fillId="7" borderId="0" xfId="0" applyFont="1" applyFill="1" applyAlignment="1">
      <alignment horizontal="left" indent="1"/>
    </xf>
    <xf numFmtId="0" fontId="12" fillId="7" borderId="0" xfId="0" applyFont="1" applyFill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2" fillId="8" borderId="0" xfId="0" applyFont="1" applyFill="1" applyAlignment="1">
      <alignment horizontal="left" indent="1"/>
    </xf>
    <xf numFmtId="0" fontId="12" fillId="8" borderId="0" xfId="0" applyFont="1" applyFill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2" fillId="9" borderId="0" xfId="0" applyFont="1" applyFill="1" applyAlignment="1">
      <alignment horizontal="left" indent="1"/>
    </xf>
    <xf numFmtId="0" fontId="12" fillId="9" borderId="0" xfId="0" applyFont="1" applyFill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12" fillId="10" borderId="0" xfId="0" applyFont="1" applyFill="1" applyAlignment="1">
      <alignment horizontal="left" indent="1"/>
    </xf>
    <xf numFmtId="0" fontId="12" fillId="10" borderId="0" xfId="0" applyFont="1" applyFill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12" fillId="11" borderId="0" xfId="0" applyFont="1" applyFill="1" applyAlignment="1">
      <alignment horizontal="left" indent="1"/>
    </xf>
    <xf numFmtId="0" fontId="12" fillId="11" borderId="0" xfId="0" applyFont="1" applyFill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9" fillId="12" borderId="0" xfId="0" applyFont="1" applyFill="1" applyAlignment="1">
      <alignment horizontal="left"/>
    </xf>
    <xf numFmtId="0" fontId="9" fillId="12" borderId="0" xfId="0" applyFont="1" applyFill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mm/d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mm/d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left" vertical="bottom" textRotation="0" wrapText="0" indent="3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theme="1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mm/d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mm/d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left" vertical="bottom" textRotation="0" wrapText="0" indent="3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theme="1" tint="0.249977111117893"/>
        </patternFill>
      </fill>
    </dxf>
  </dxfs>
  <tableStyles count="0" defaultTableStyle="TableStyleMedium2" defaultPivotStyle="PivotStyleLight16"/>
  <colors>
    <mruColors>
      <color rgb="FF7AA0BC"/>
      <color rgb="FF93B2C9"/>
      <color rgb="FFBFD1DF"/>
      <color rgb="FFB7CCDB"/>
      <color rgb="FFD0DEE8"/>
      <color rgb="FFDEE8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50C0A-380C-4B08-AD7D-F163D290BF5F}" name="Table1" displayName="Table1" ref="A1:C54" totalsRowShown="0" headerRowDxfId="9" dataDxfId="8">
  <autoFilter ref="A1:C54" xr:uid="{B5A50C0A-380C-4B08-AD7D-F163D290BF5F}"/>
  <tableColumns count="3">
    <tableColumn id="1" xr3:uid="{746C1FAA-1603-4200-938B-793233CC1264}" name="Description" dataDxfId="7"/>
    <tableColumn id="2" xr3:uid="{5CB24739-6D88-47C5-9268-5471A3FBCD08}" name="Start date" dataDxfId="6"/>
    <tableColumn id="3" xr3:uid="{96B5A2C3-BECB-4264-9CE0-485DB2C737C3}" name="End date" dataDxfId="5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A87806-2BE1-4546-9C0B-6CB598BDE0EE}" name="Table13" displayName="Table13" ref="A1:C54" totalsRowShown="0" headerRowDxfId="4" dataDxfId="3">
  <autoFilter ref="A1:C54" xr:uid="{B5A50C0A-380C-4B08-AD7D-F163D290BF5F}"/>
  <tableColumns count="3">
    <tableColumn id="1" xr3:uid="{FA4D42FB-C1EF-47AF-9DF6-3CC09022466C}" name="Description" dataDxfId="2"/>
    <tableColumn id="2" xr3:uid="{9CD8A932-FD24-490E-890A-642FCBACB215}" name="Start date" dataDxfId="1"/>
    <tableColumn id="3" xr3:uid="{13F9D539-BB45-4AD1-9217-BA5682713CF8}" name="End dat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Health Innovative Solutions">
      <a:dk1>
        <a:sysClr val="windowText" lastClr="000000"/>
      </a:dk1>
      <a:lt1>
        <a:sysClr val="window" lastClr="FFFFFF"/>
      </a:lt1>
      <a:dk2>
        <a:srgbClr val="6A7478"/>
      </a:dk2>
      <a:lt2>
        <a:srgbClr val="5F8FB4"/>
      </a:lt2>
      <a:accent1>
        <a:srgbClr val="23EB47"/>
      </a:accent1>
      <a:accent2>
        <a:srgbClr val="86459A"/>
      </a:accent2>
      <a:accent3>
        <a:srgbClr val="49459D"/>
      </a:accent3>
      <a:accent4>
        <a:srgbClr val="DD3021"/>
      </a:accent4>
      <a:accent5>
        <a:srgbClr val="F8BD28"/>
      </a:accent5>
      <a:accent6>
        <a:srgbClr val="BE0095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0496-A142-4D2A-853F-AEE12CFD804A}">
  <sheetPr>
    <pageSetUpPr fitToPage="1"/>
  </sheetPr>
  <dimension ref="A1:E56"/>
  <sheetViews>
    <sheetView zoomScaleNormal="100" workbookViewId="0">
      <selection activeCell="A36" sqref="A36"/>
    </sheetView>
  </sheetViews>
  <sheetFormatPr defaultColWidth="8.85546875" defaultRowHeight="15" x14ac:dyDescent="0.25"/>
  <cols>
    <col min="1" max="1" width="74.42578125" style="1" bestFit="1" customWidth="1"/>
    <col min="2" max="2" width="14.28515625" style="2" bestFit="1" customWidth="1"/>
    <col min="3" max="3" width="13.42578125" style="2" bestFit="1" customWidth="1"/>
    <col min="4" max="4" width="1.42578125" style="1" customWidth="1"/>
    <col min="5" max="5" width="12.140625" style="1" hidden="1" customWidth="1"/>
    <col min="6" max="6" width="14" style="1" customWidth="1"/>
    <col min="7" max="16384" width="8.85546875" style="1"/>
  </cols>
  <sheetData>
    <row r="1" spans="1:5" ht="30" x14ac:dyDescent="0.25">
      <c r="A1" s="6" t="s">
        <v>36</v>
      </c>
      <c r="B1" s="7" t="s">
        <v>33</v>
      </c>
      <c r="C1" s="7" t="s">
        <v>34</v>
      </c>
      <c r="E1" s="5" t="s">
        <v>38</v>
      </c>
    </row>
    <row r="2" spans="1:5" s="16" customFormat="1" x14ac:dyDescent="0.25">
      <c r="A2" s="14" t="s">
        <v>35</v>
      </c>
      <c r="B2" s="15"/>
      <c r="C2" s="15"/>
      <c r="E2" s="17"/>
    </row>
    <row r="3" spans="1:5" s="16" customFormat="1" x14ac:dyDescent="0.25">
      <c r="A3" s="18" t="s">
        <v>47</v>
      </c>
      <c r="B3" s="19"/>
      <c r="C3" s="19"/>
      <c r="E3" s="20"/>
    </row>
    <row r="4" spans="1:5" x14ac:dyDescent="0.25">
      <c r="A4" s="8" t="s">
        <v>37</v>
      </c>
      <c r="B4" s="9">
        <v>45716</v>
      </c>
      <c r="C4" s="9">
        <v>45716</v>
      </c>
      <c r="E4" s="3">
        <f>NETWORKDAYS(Table1[[#This Row],[Start date]],Table1[[#This Row],[End date]])</f>
        <v>1</v>
      </c>
    </row>
    <row r="5" spans="1:5" x14ac:dyDescent="0.25">
      <c r="A5" s="10" t="s">
        <v>0</v>
      </c>
      <c r="B5" s="11">
        <v>45719</v>
      </c>
      <c r="C5" s="11">
        <v>45722</v>
      </c>
      <c r="E5" s="3">
        <f>NETWORKDAYS(Table1[[#This Row],[Start date]],Table1[[#This Row],[End date]])</f>
        <v>4</v>
      </c>
    </row>
    <row r="6" spans="1:5" x14ac:dyDescent="0.25">
      <c r="A6" s="8" t="s">
        <v>1</v>
      </c>
      <c r="B6" s="9">
        <v>45727</v>
      </c>
      <c r="C6" s="9">
        <v>45728</v>
      </c>
      <c r="E6" s="3">
        <f>NETWORKDAYS(Table1[[#This Row],[Start date]],Table1[[#This Row],[End date]])</f>
        <v>2</v>
      </c>
    </row>
    <row r="7" spans="1:5" x14ac:dyDescent="0.25">
      <c r="A7" s="8" t="s">
        <v>2</v>
      </c>
      <c r="B7" s="9">
        <v>45728</v>
      </c>
      <c r="C7" s="9">
        <v>45728</v>
      </c>
      <c r="E7" s="3">
        <f>NETWORKDAYS(Table1[[#This Row],[Start date]],Table1[[#This Row],[End date]])</f>
        <v>1</v>
      </c>
    </row>
    <row r="8" spans="1:5" s="16" customFormat="1" x14ac:dyDescent="0.25">
      <c r="A8" s="21" t="s">
        <v>3</v>
      </c>
      <c r="B8" s="22"/>
      <c r="C8" s="22"/>
      <c r="E8" s="23"/>
    </row>
    <row r="9" spans="1:5" x14ac:dyDescent="0.25">
      <c r="A9" s="8" t="s">
        <v>4</v>
      </c>
      <c r="B9" s="9">
        <v>45728</v>
      </c>
      <c r="C9" s="9">
        <v>45740</v>
      </c>
      <c r="E9" s="3">
        <f>NETWORKDAYS(Table1[[#This Row],[Start date]],Table1[[#This Row],[End date]])</f>
        <v>9</v>
      </c>
    </row>
    <row r="10" spans="1:5" x14ac:dyDescent="0.25">
      <c r="A10" s="8" t="s">
        <v>5</v>
      </c>
      <c r="B10" s="9">
        <v>45728</v>
      </c>
      <c r="C10" s="9">
        <v>45749</v>
      </c>
      <c r="E10" s="3">
        <f>NETWORKDAYS(Table1[[#This Row],[Start date]],Table1[[#This Row],[End date]])</f>
        <v>16</v>
      </c>
    </row>
    <row r="11" spans="1:5" x14ac:dyDescent="0.25">
      <c r="A11" s="8" t="s">
        <v>6</v>
      </c>
      <c r="B11" s="9">
        <v>45730</v>
      </c>
      <c r="C11" s="9">
        <v>45730</v>
      </c>
      <c r="E11" s="3">
        <f>NETWORKDAYS(Table1[[#This Row],[Start date]],Table1[[#This Row],[End date]])</f>
        <v>1</v>
      </c>
    </row>
    <row r="12" spans="1:5" x14ac:dyDescent="0.25">
      <c r="A12" s="8" t="s">
        <v>7</v>
      </c>
      <c r="B12" s="9">
        <v>45733</v>
      </c>
      <c r="C12" s="9">
        <v>45733</v>
      </c>
      <c r="E12" s="3">
        <f>NETWORKDAYS(Table1[[#This Row],[Start date]],Table1[[#This Row],[End date]])</f>
        <v>1</v>
      </c>
    </row>
    <row r="13" spans="1:5" x14ac:dyDescent="0.25">
      <c r="A13" s="8" t="s">
        <v>8</v>
      </c>
      <c r="B13" s="9">
        <v>45734</v>
      </c>
      <c r="C13" s="9">
        <v>45734</v>
      </c>
      <c r="E13" s="3">
        <f>NETWORKDAYS(Table1[[#This Row],[Start date]],Table1[[#This Row],[End date]])</f>
        <v>1</v>
      </c>
    </row>
    <row r="14" spans="1:5" x14ac:dyDescent="0.25">
      <c r="A14" s="8" t="s">
        <v>9</v>
      </c>
      <c r="B14" s="9">
        <v>45734</v>
      </c>
      <c r="C14" s="9">
        <v>45734</v>
      </c>
      <c r="E14" s="3">
        <f>NETWORKDAYS(Table1[[#This Row],[Start date]],Table1[[#This Row],[End date]])</f>
        <v>1</v>
      </c>
    </row>
    <row r="15" spans="1:5" x14ac:dyDescent="0.25">
      <c r="A15" s="8" t="s">
        <v>10</v>
      </c>
      <c r="B15" s="9">
        <v>45734</v>
      </c>
      <c r="C15" s="9">
        <v>45734</v>
      </c>
      <c r="E15" s="3">
        <f>NETWORKDAYS(Table1[[#This Row],[Start date]],Table1[[#This Row],[End date]])</f>
        <v>1</v>
      </c>
    </row>
    <row r="16" spans="1:5" x14ac:dyDescent="0.25">
      <c r="A16" s="8" t="s">
        <v>11</v>
      </c>
      <c r="B16" s="9">
        <v>45735</v>
      </c>
      <c r="C16" s="9">
        <v>45735</v>
      </c>
      <c r="E16" s="3">
        <f>NETWORKDAYS(Table1[[#This Row],[Start date]],Table1[[#This Row],[End date]])</f>
        <v>1</v>
      </c>
    </row>
    <row r="17" spans="1:5" x14ac:dyDescent="0.25">
      <c r="A17" s="8" t="s">
        <v>12</v>
      </c>
      <c r="B17" s="9">
        <v>45735</v>
      </c>
      <c r="C17" s="9">
        <v>45735</v>
      </c>
      <c r="E17" s="3">
        <f>NETWORKDAYS(Table1[[#This Row],[Start date]],Table1[[#This Row],[End date]])</f>
        <v>1</v>
      </c>
    </row>
    <row r="18" spans="1:5" x14ac:dyDescent="0.25">
      <c r="A18" s="8" t="s">
        <v>13</v>
      </c>
      <c r="B18" s="9">
        <v>45735</v>
      </c>
      <c r="C18" s="9">
        <v>45735</v>
      </c>
      <c r="E18" s="3">
        <f>NETWORKDAYS(Table1[[#This Row],[Start date]],Table1[[#This Row],[End date]])</f>
        <v>1</v>
      </c>
    </row>
    <row r="19" spans="1:5" x14ac:dyDescent="0.25">
      <c r="A19" s="8" t="s">
        <v>14</v>
      </c>
      <c r="B19" s="9">
        <v>45736</v>
      </c>
      <c r="C19" s="9">
        <v>45736</v>
      </c>
      <c r="E19" s="3">
        <f>NETWORKDAYS(Table1[[#This Row],[Start date]],Table1[[#This Row],[End date]])</f>
        <v>1</v>
      </c>
    </row>
    <row r="20" spans="1:5" x14ac:dyDescent="0.25">
      <c r="A20" s="8" t="s">
        <v>15</v>
      </c>
      <c r="B20" s="9">
        <v>45740</v>
      </c>
      <c r="C20" s="9">
        <v>45740</v>
      </c>
      <c r="E20" s="3">
        <f>NETWORKDAYS(Table1[[#This Row],[Start date]],Table1[[#This Row],[End date]])</f>
        <v>1</v>
      </c>
    </row>
    <row r="21" spans="1:5" x14ac:dyDescent="0.25">
      <c r="A21" s="8" t="s">
        <v>16</v>
      </c>
      <c r="B21" s="9">
        <v>45742</v>
      </c>
      <c r="C21" s="9">
        <v>45742</v>
      </c>
      <c r="E21" s="3">
        <f>NETWORKDAYS(Table1[[#This Row],[Start date]],Table1[[#This Row],[End date]])</f>
        <v>1</v>
      </c>
    </row>
    <row r="22" spans="1:5" x14ac:dyDescent="0.25">
      <c r="A22" s="8" t="s">
        <v>17</v>
      </c>
      <c r="B22" s="9">
        <v>45750</v>
      </c>
      <c r="C22" s="9">
        <v>45750</v>
      </c>
      <c r="E22" s="3">
        <f>NETWORKDAYS(Table1[[#This Row],[Start date]],Table1[[#This Row],[End date]])</f>
        <v>1</v>
      </c>
    </row>
    <row r="23" spans="1:5" s="16" customFormat="1" x14ac:dyDescent="0.25">
      <c r="A23" s="24" t="s">
        <v>48</v>
      </c>
      <c r="B23" s="25"/>
      <c r="C23" s="25"/>
      <c r="E23" s="26"/>
    </row>
    <row r="24" spans="1:5" s="16" customFormat="1" x14ac:dyDescent="0.25">
      <c r="A24" s="27" t="s">
        <v>18</v>
      </c>
      <c r="B24" s="28"/>
      <c r="C24" s="28"/>
      <c r="E24" s="29"/>
    </row>
    <row r="25" spans="1:5" x14ac:dyDescent="0.25">
      <c r="A25" s="8" t="s">
        <v>19</v>
      </c>
      <c r="B25" s="9">
        <v>45751</v>
      </c>
      <c r="C25" s="9">
        <v>45757</v>
      </c>
      <c r="E25" s="3">
        <f>NETWORKDAYS(Table1[[#This Row],[Start date]],Table1[[#This Row],[End date]])</f>
        <v>5</v>
      </c>
    </row>
    <row r="26" spans="1:5" x14ac:dyDescent="0.25">
      <c r="A26" s="8" t="s">
        <v>22</v>
      </c>
      <c r="B26" s="9">
        <v>45758</v>
      </c>
      <c r="C26" s="9">
        <v>45758</v>
      </c>
      <c r="E26" s="3">
        <f>NETWORKDAYS(Table1[[#This Row],[Start date]],Table1[[#This Row],[End date]])</f>
        <v>1</v>
      </c>
    </row>
    <row r="27" spans="1:5" x14ac:dyDescent="0.25">
      <c r="A27" s="8" t="s">
        <v>23</v>
      </c>
      <c r="B27" s="9">
        <v>45758</v>
      </c>
      <c r="C27" s="9">
        <v>45758</v>
      </c>
      <c r="E27" s="3">
        <f>NETWORKDAYS(Table1[[#This Row],[Start date]],Table1[[#This Row],[End date]])</f>
        <v>1</v>
      </c>
    </row>
    <row r="28" spans="1:5" x14ac:dyDescent="0.25">
      <c r="A28" s="8" t="s">
        <v>24</v>
      </c>
      <c r="B28" s="9">
        <v>45758</v>
      </c>
      <c r="C28" s="9">
        <v>45758</v>
      </c>
      <c r="E28" s="3">
        <f>NETWORKDAYS(Table1[[#This Row],[Start date]],Table1[[#This Row],[End date]])</f>
        <v>1</v>
      </c>
    </row>
    <row r="29" spans="1:5" x14ac:dyDescent="0.25">
      <c r="A29" s="10" t="s">
        <v>20</v>
      </c>
      <c r="B29" s="11">
        <v>45759</v>
      </c>
      <c r="C29" s="11">
        <v>45767</v>
      </c>
      <c r="E29" s="3">
        <f>NETWORKDAYS(Table1[[#This Row],[Start date]],Table1[[#This Row],[End date]])</f>
        <v>5</v>
      </c>
    </row>
    <row r="30" spans="1:5" x14ac:dyDescent="0.25">
      <c r="A30" s="10" t="s">
        <v>21</v>
      </c>
      <c r="B30" s="11">
        <v>45767</v>
      </c>
      <c r="C30" s="11">
        <v>45767</v>
      </c>
      <c r="E30" s="3">
        <f>NETWORKDAYS(Table1[[#This Row],[Start date]],Table1[[#This Row],[End date]])</f>
        <v>0</v>
      </c>
    </row>
    <row r="31" spans="1:5" s="16" customFormat="1" x14ac:dyDescent="0.25">
      <c r="A31" s="30" t="s">
        <v>39</v>
      </c>
      <c r="B31" s="31"/>
      <c r="C31" s="31"/>
      <c r="E31" s="32"/>
    </row>
    <row r="32" spans="1:5" x14ac:dyDescent="0.25">
      <c r="A32" s="8" t="s">
        <v>40</v>
      </c>
      <c r="B32" s="9">
        <v>45768</v>
      </c>
      <c r="C32" s="9">
        <v>45772</v>
      </c>
      <c r="E32" s="3">
        <f>NETWORKDAYS(Table1[[#This Row],[Start date]],Table1[[#This Row],[End date]])</f>
        <v>5</v>
      </c>
    </row>
    <row r="33" spans="1:5" x14ac:dyDescent="0.25">
      <c r="A33" s="8" t="s">
        <v>41</v>
      </c>
      <c r="B33" s="9">
        <v>45768</v>
      </c>
      <c r="C33" s="9">
        <v>45772</v>
      </c>
      <c r="E33" s="3">
        <f>NETWORKDAYS(Table1[[#This Row],[Start date]],Table1[[#This Row],[End date]])</f>
        <v>5</v>
      </c>
    </row>
    <row r="34" spans="1:5" x14ac:dyDescent="0.25">
      <c r="A34" s="8" t="s">
        <v>42</v>
      </c>
      <c r="B34" s="9">
        <v>45768</v>
      </c>
      <c r="C34" s="9">
        <v>45772</v>
      </c>
      <c r="E34" s="3">
        <f>NETWORKDAYS(Table1[[#This Row],[Start date]],Table1[[#This Row],[End date]])</f>
        <v>5</v>
      </c>
    </row>
    <row r="35" spans="1:5" x14ac:dyDescent="0.25">
      <c r="A35" s="8" t="s">
        <v>43</v>
      </c>
      <c r="B35" s="9">
        <v>45768</v>
      </c>
      <c r="C35" s="9">
        <v>45772</v>
      </c>
      <c r="E35" s="3">
        <f>NETWORKDAYS(Table1[[#This Row],[Start date]],Table1[[#This Row],[End date]])</f>
        <v>5</v>
      </c>
    </row>
    <row r="36" spans="1:5" s="16" customFormat="1" x14ac:dyDescent="0.25">
      <c r="A36" s="33" t="s">
        <v>44</v>
      </c>
      <c r="B36" s="34"/>
      <c r="C36" s="34"/>
      <c r="E36" s="35"/>
    </row>
    <row r="37" spans="1:5" x14ac:dyDescent="0.25">
      <c r="A37" s="8" t="s">
        <v>40</v>
      </c>
      <c r="B37" s="9">
        <v>45768</v>
      </c>
      <c r="C37" s="9">
        <v>45772</v>
      </c>
      <c r="E37" s="3">
        <f>NETWORKDAYS(Table1[[#This Row],[Start date]],Table1[[#This Row],[End date]])</f>
        <v>5</v>
      </c>
    </row>
    <row r="38" spans="1:5" x14ac:dyDescent="0.25">
      <c r="A38" s="8" t="s">
        <v>41</v>
      </c>
      <c r="B38" s="9">
        <v>45768</v>
      </c>
      <c r="C38" s="9">
        <v>45772</v>
      </c>
      <c r="E38" s="3">
        <f>NETWORKDAYS(Table1[[#This Row],[Start date]],Table1[[#This Row],[End date]])</f>
        <v>5</v>
      </c>
    </row>
    <row r="39" spans="1:5" x14ac:dyDescent="0.25">
      <c r="A39" s="8" t="s">
        <v>42</v>
      </c>
      <c r="B39" s="9">
        <v>45768</v>
      </c>
      <c r="C39" s="9">
        <v>45772</v>
      </c>
      <c r="E39" s="3">
        <f>NETWORKDAYS(Table1[[#This Row],[Start date]],Table1[[#This Row],[End date]])</f>
        <v>5</v>
      </c>
    </row>
    <row r="40" spans="1:5" x14ac:dyDescent="0.25">
      <c r="A40" s="8" t="s">
        <v>43</v>
      </c>
      <c r="B40" s="9">
        <v>45768</v>
      </c>
      <c r="C40" s="9">
        <v>45772</v>
      </c>
      <c r="E40" s="3">
        <f>NETWORKDAYS(Table1[[#This Row],[Start date]],Table1[[#This Row],[End date]])</f>
        <v>5</v>
      </c>
    </row>
    <row r="41" spans="1:5" s="16" customFormat="1" x14ac:dyDescent="0.25">
      <c r="A41" s="36" t="s">
        <v>45</v>
      </c>
      <c r="B41" s="37"/>
      <c r="C41" s="37"/>
      <c r="E41" s="38"/>
    </row>
    <row r="42" spans="1:5" x14ac:dyDescent="0.25">
      <c r="A42" s="8" t="s">
        <v>40</v>
      </c>
      <c r="B42" s="9">
        <v>45768</v>
      </c>
      <c r="C42" s="9">
        <v>45772</v>
      </c>
      <c r="E42" s="3">
        <f>NETWORKDAYS(Table1[[#This Row],[Start date]],Table1[[#This Row],[End date]])</f>
        <v>5</v>
      </c>
    </row>
    <row r="43" spans="1:5" x14ac:dyDescent="0.25">
      <c r="A43" s="8" t="s">
        <v>41</v>
      </c>
      <c r="B43" s="9">
        <v>45768</v>
      </c>
      <c r="C43" s="9">
        <v>45772</v>
      </c>
      <c r="E43" s="3">
        <f>NETWORKDAYS(Table1[[#This Row],[Start date]],Table1[[#This Row],[End date]])</f>
        <v>5</v>
      </c>
    </row>
    <row r="44" spans="1:5" x14ac:dyDescent="0.25">
      <c r="A44" s="8" t="s">
        <v>42</v>
      </c>
      <c r="B44" s="9">
        <v>45768</v>
      </c>
      <c r="C44" s="9">
        <v>45772</v>
      </c>
      <c r="E44" s="3">
        <f>NETWORKDAYS(Table1[[#This Row],[Start date]],Table1[[#This Row],[End date]])</f>
        <v>5</v>
      </c>
    </row>
    <row r="45" spans="1:5" x14ac:dyDescent="0.25">
      <c r="A45" s="8" t="s">
        <v>43</v>
      </c>
      <c r="B45" s="9">
        <v>45768</v>
      </c>
      <c r="C45" s="9">
        <v>45772</v>
      </c>
      <c r="E45" s="3">
        <f>NETWORKDAYS(Table1[[#This Row],[Start date]],Table1[[#This Row],[End date]])</f>
        <v>5</v>
      </c>
    </row>
    <row r="46" spans="1:5" s="16" customFormat="1" x14ac:dyDescent="0.25">
      <c r="A46" s="39" t="s">
        <v>46</v>
      </c>
      <c r="B46" s="40"/>
      <c r="C46" s="40"/>
      <c r="E46" s="41"/>
    </row>
    <row r="47" spans="1:5" x14ac:dyDescent="0.25">
      <c r="A47" s="8" t="s">
        <v>25</v>
      </c>
      <c r="B47" s="9">
        <v>45768</v>
      </c>
      <c r="C47" s="9">
        <v>45772</v>
      </c>
      <c r="E47" s="3">
        <f>NETWORKDAYS(Table1[[#This Row],[Start date]],Table1[[#This Row],[End date]])</f>
        <v>5</v>
      </c>
    </row>
    <row r="48" spans="1:5" x14ac:dyDescent="0.25">
      <c r="A48" s="8" t="s">
        <v>26</v>
      </c>
      <c r="B48" s="9">
        <v>45768</v>
      </c>
      <c r="C48" s="9">
        <v>45772</v>
      </c>
      <c r="E48" s="3">
        <f>NETWORKDAYS(Table1[[#This Row],[Start date]],Table1[[#This Row],[End date]])</f>
        <v>5</v>
      </c>
    </row>
    <row r="49" spans="1:5" x14ac:dyDescent="0.25">
      <c r="A49" s="8" t="s">
        <v>27</v>
      </c>
      <c r="B49" s="9">
        <v>45768</v>
      </c>
      <c r="C49" s="9">
        <v>45772</v>
      </c>
      <c r="E49" s="3">
        <f>NETWORKDAYS(Table1[[#This Row],[Start date]],Table1[[#This Row],[End date]])</f>
        <v>5</v>
      </c>
    </row>
    <row r="50" spans="1:5" x14ac:dyDescent="0.25">
      <c r="A50" s="8" t="s">
        <v>28</v>
      </c>
      <c r="B50" s="9">
        <v>45768</v>
      </c>
      <c r="C50" s="9">
        <v>45772</v>
      </c>
      <c r="E50" s="3">
        <f>NETWORKDAYS(Table1[[#This Row],[Start date]],Table1[[#This Row],[End date]])</f>
        <v>5</v>
      </c>
    </row>
    <row r="51" spans="1:5" s="16" customFormat="1" x14ac:dyDescent="0.25">
      <c r="A51" s="42" t="s">
        <v>29</v>
      </c>
      <c r="B51" s="43"/>
      <c r="C51" s="43"/>
      <c r="E51" s="44"/>
    </row>
    <row r="52" spans="1:5" x14ac:dyDescent="0.25">
      <c r="A52" s="8" t="s">
        <v>30</v>
      </c>
      <c r="B52" s="9">
        <v>45777.999305555597</v>
      </c>
      <c r="C52" s="9">
        <v>45777.999305555597</v>
      </c>
      <c r="E52" s="3">
        <f>NETWORKDAYS(Table1[[#This Row],[Start date]],Table1[[#This Row],[End date]])</f>
        <v>1</v>
      </c>
    </row>
    <row r="53" spans="1:5" x14ac:dyDescent="0.25">
      <c r="A53" s="8" t="s">
        <v>31</v>
      </c>
      <c r="B53" s="9">
        <v>45778.999305555597</v>
      </c>
      <c r="C53" s="9">
        <v>45778.999305555597</v>
      </c>
      <c r="E53" s="3">
        <f>NETWORKDAYS(Table1[[#This Row],[Start date]],Table1[[#This Row],[End date]])</f>
        <v>1</v>
      </c>
    </row>
    <row r="54" spans="1:5" x14ac:dyDescent="0.25">
      <c r="A54" s="8" t="s">
        <v>32</v>
      </c>
      <c r="B54" s="9">
        <v>45778.999305555597</v>
      </c>
      <c r="C54" s="9">
        <v>45778.999305555597</v>
      </c>
      <c r="E54" s="4">
        <f>NETWORKDAYS(Table1[[#This Row],[Start date]],Table1[[#This Row],[End date]])</f>
        <v>1</v>
      </c>
    </row>
    <row r="55" spans="1:5" x14ac:dyDescent="0.25">
      <c r="A55" s="12"/>
      <c r="B55" s="13"/>
      <c r="C55" s="13"/>
    </row>
    <row r="56" spans="1:5" x14ac:dyDescent="0.25">
      <c r="A56" s="45" t="s">
        <v>49</v>
      </c>
      <c r="B56" s="45"/>
      <c r="C56" s="45"/>
    </row>
  </sheetData>
  <mergeCells count="1">
    <mergeCell ref="A56:C56"/>
  </mergeCells>
  <phoneticPr fontId="2" type="noConversion"/>
  <pageMargins left="0.7" right="0.7" top="0.75" bottom="0.75" header="0.3" footer="0.3"/>
  <pageSetup scale="75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7DF4-CC79-464C-A078-72D54999C246}">
  <sheetPr>
    <pageSetUpPr fitToPage="1"/>
  </sheetPr>
  <dimension ref="A1:E56"/>
  <sheetViews>
    <sheetView tabSelected="1" topLeftCell="A4" zoomScale="120" zoomScaleNormal="120" workbookViewId="0">
      <selection activeCell="A13" sqref="A13:C19"/>
    </sheetView>
  </sheetViews>
  <sheetFormatPr defaultColWidth="8.85546875" defaultRowHeight="15" x14ac:dyDescent="0.25"/>
  <cols>
    <col min="1" max="1" width="74.42578125" style="1" bestFit="1" customWidth="1"/>
    <col min="2" max="2" width="14.28515625" style="2" bestFit="1" customWidth="1"/>
    <col min="3" max="3" width="13.42578125" style="2" bestFit="1" customWidth="1"/>
    <col min="4" max="4" width="1.42578125" style="1" customWidth="1"/>
    <col min="5" max="5" width="12.140625" style="1" hidden="1" customWidth="1"/>
    <col min="6" max="6" width="14" style="1" customWidth="1"/>
    <col min="7" max="16384" width="8.85546875" style="1"/>
  </cols>
  <sheetData>
    <row r="1" spans="1:5" ht="30" x14ac:dyDescent="0.25">
      <c r="A1" s="6" t="s">
        <v>36</v>
      </c>
      <c r="B1" s="7" t="s">
        <v>33</v>
      </c>
      <c r="C1" s="7" t="s">
        <v>34</v>
      </c>
      <c r="E1" s="5" t="s">
        <v>38</v>
      </c>
    </row>
    <row r="2" spans="1:5" s="16" customFormat="1" x14ac:dyDescent="0.25">
      <c r="A2" s="14" t="s">
        <v>35</v>
      </c>
      <c r="B2" s="15"/>
      <c r="C2" s="15"/>
      <c r="E2" s="17"/>
    </row>
    <row r="3" spans="1:5" s="16" customFormat="1" x14ac:dyDescent="0.25">
      <c r="A3" s="18" t="s">
        <v>47</v>
      </c>
      <c r="B3" s="19"/>
      <c r="C3" s="19"/>
      <c r="E3" s="20"/>
    </row>
    <row r="4" spans="1:5" x14ac:dyDescent="0.25">
      <c r="A4" s="8" t="s">
        <v>37</v>
      </c>
      <c r="B4" s="9">
        <v>45716</v>
      </c>
      <c r="C4" s="9">
        <v>45716</v>
      </c>
      <c r="E4" s="3">
        <f>NETWORKDAYS(Table13[[#This Row],[Start date]],Table13[[#This Row],[End date]])</f>
        <v>1</v>
      </c>
    </row>
    <row r="5" spans="1:5" x14ac:dyDescent="0.25">
      <c r="A5" s="10" t="s">
        <v>0</v>
      </c>
      <c r="B5" s="11">
        <v>45719</v>
      </c>
      <c r="C5" s="11">
        <v>45722</v>
      </c>
      <c r="E5" s="3">
        <f>NETWORKDAYS(Table13[[#This Row],[Start date]],Table13[[#This Row],[End date]])</f>
        <v>4</v>
      </c>
    </row>
    <row r="6" spans="1:5" x14ac:dyDescent="0.25">
      <c r="A6" s="8" t="s">
        <v>1</v>
      </c>
      <c r="B6" s="9">
        <v>45727</v>
      </c>
      <c r="C6" s="9">
        <v>45728</v>
      </c>
      <c r="E6" s="3">
        <f>NETWORKDAYS(Table13[[#This Row],[Start date]],Table13[[#This Row],[End date]])</f>
        <v>2</v>
      </c>
    </row>
    <row r="7" spans="1:5" x14ac:dyDescent="0.25">
      <c r="A7" s="8" t="s">
        <v>2</v>
      </c>
      <c r="B7" s="9">
        <v>45728</v>
      </c>
      <c r="C7" s="9">
        <v>45728</v>
      </c>
      <c r="E7" s="3">
        <f>NETWORKDAYS(Table13[[#This Row],[Start date]],Table13[[#This Row],[End date]])</f>
        <v>1</v>
      </c>
    </row>
    <row r="8" spans="1:5" s="16" customFormat="1" x14ac:dyDescent="0.25">
      <c r="A8" s="21" t="s">
        <v>3</v>
      </c>
      <c r="B8" s="22"/>
      <c r="C8" s="22"/>
      <c r="E8" s="23"/>
    </row>
    <row r="9" spans="1:5" x14ac:dyDescent="0.25">
      <c r="A9" s="8" t="s">
        <v>4</v>
      </c>
      <c r="B9" s="9">
        <v>45728</v>
      </c>
      <c r="C9" s="9">
        <v>45740</v>
      </c>
      <c r="E9" s="3">
        <f>NETWORKDAYS(Table13[[#This Row],[Start date]],Table13[[#This Row],[End date]])</f>
        <v>9</v>
      </c>
    </row>
    <row r="10" spans="1:5" x14ac:dyDescent="0.25">
      <c r="A10" s="8" t="s">
        <v>5</v>
      </c>
      <c r="B10" s="9">
        <v>45728</v>
      </c>
      <c r="C10" s="9">
        <v>45749</v>
      </c>
      <c r="E10" s="3">
        <f>NETWORKDAYS(Table13[[#This Row],[Start date]],Table13[[#This Row],[End date]])</f>
        <v>16</v>
      </c>
    </row>
    <row r="11" spans="1:5" x14ac:dyDescent="0.25">
      <c r="A11" s="8" t="s">
        <v>6</v>
      </c>
      <c r="B11" s="9">
        <v>45730</v>
      </c>
      <c r="C11" s="9">
        <v>45730</v>
      </c>
      <c r="E11" s="3">
        <f>NETWORKDAYS(Table13[[#This Row],[Start date]],Table13[[#This Row],[End date]])</f>
        <v>1</v>
      </c>
    </row>
    <row r="12" spans="1:5" x14ac:dyDescent="0.25">
      <c r="A12" s="8" t="s">
        <v>7</v>
      </c>
      <c r="B12" s="9">
        <v>45733</v>
      </c>
      <c r="C12" s="9">
        <v>45733</v>
      </c>
      <c r="E12" s="3">
        <f>NETWORKDAYS(Table13[[#This Row],[Start date]],Table13[[#This Row],[End date]])</f>
        <v>1</v>
      </c>
    </row>
    <row r="13" spans="1:5" x14ac:dyDescent="0.25">
      <c r="A13" s="8" t="s">
        <v>52</v>
      </c>
      <c r="B13" s="9">
        <v>45734</v>
      </c>
      <c r="C13" s="9">
        <v>45734</v>
      </c>
      <c r="E13" s="3">
        <f>NETWORKDAYS(Table13[[#This Row],[Start date]],Table13[[#This Row],[End date]])</f>
        <v>1</v>
      </c>
    </row>
    <row r="14" spans="1:5" x14ac:dyDescent="0.25">
      <c r="A14" s="8" t="s">
        <v>53</v>
      </c>
      <c r="B14" s="9">
        <v>45734</v>
      </c>
      <c r="C14" s="9">
        <v>45734</v>
      </c>
      <c r="E14" s="3">
        <f>NETWORKDAYS(Table13[[#This Row],[Start date]],Table13[[#This Row],[End date]])</f>
        <v>1</v>
      </c>
    </row>
    <row r="15" spans="1:5" x14ac:dyDescent="0.25">
      <c r="A15" s="8" t="s">
        <v>54</v>
      </c>
      <c r="B15" s="9">
        <v>45734</v>
      </c>
      <c r="C15" s="9">
        <v>45734</v>
      </c>
      <c r="E15" s="3">
        <f>NETWORKDAYS(Table13[[#This Row],[Start date]],Table13[[#This Row],[End date]])</f>
        <v>1</v>
      </c>
    </row>
    <row r="16" spans="1:5" x14ac:dyDescent="0.25">
      <c r="A16" s="8" t="s">
        <v>51</v>
      </c>
      <c r="B16" s="9">
        <v>45735</v>
      </c>
      <c r="C16" s="9">
        <v>45735</v>
      </c>
      <c r="E16" s="3">
        <f>NETWORKDAYS(Table13[[#This Row],[Start date]],Table13[[#This Row],[End date]])</f>
        <v>1</v>
      </c>
    </row>
    <row r="17" spans="1:5" x14ac:dyDescent="0.25">
      <c r="A17" s="8" t="s">
        <v>55</v>
      </c>
      <c r="B17" s="9">
        <v>45735</v>
      </c>
      <c r="C17" s="9">
        <v>45735</v>
      </c>
      <c r="E17" s="3">
        <f>NETWORKDAYS(Table13[[#This Row],[Start date]],Table13[[#This Row],[End date]])</f>
        <v>1</v>
      </c>
    </row>
    <row r="18" spans="1:5" x14ac:dyDescent="0.25">
      <c r="A18" s="8" t="s">
        <v>50</v>
      </c>
      <c r="B18" s="9">
        <v>45735</v>
      </c>
      <c r="C18" s="9">
        <v>45735</v>
      </c>
      <c r="E18" s="3">
        <f>NETWORKDAYS(Table13[[#This Row],[Start date]],Table13[[#This Row],[End date]])</f>
        <v>1</v>
      </c>
    </row>
    <row r="19" spans="1:5" x14ac:dyDescent="0.25">
      <c r="A19" s="8" t="s">
        <v>56</v>
      </c>
      <c r="B19" s="9">
        <v>45736</v>
      </c>
      <c r="C19" s="9">
        <v>45736</v>
      </c>
      <c r="E19" s="3">
        <f>NETWORKDAYS(Table13[[#This Row],[Start date]],Table13[[#This Row],[End date]])</f>
        <v>1</v>
      </c>
    </row>
    <row r="20" spans="1:5" x14ac:dyDescent="0.25">
      <c r="A20" s="8" t="s">
        <v>15</v>
      </c>
      <c r="B20" s="9">
        <v>45740</v>
      </c>
      <c r="C20" s="9">
        <v>45740</v>
      </c>
      <c r="E20" s="3">
        <f>NETWORKDAYS(Table13[[#This Row],[Start date]],Table13[[#This Row],[End date]])</f>
        <v>1</v>
      </c>
    </row>
    <row r="21" spans="1:5" x14ac:dyDescent="0.25">
      <c r="A21" s="8" t="s">
        <v>16</v>
      </c>
      <c r="B21" s="9">
        <v>45742</v>
      </c>
      <c r="C21" s="9">
        <v>45742</v>
      </c>
      <c r="E21" s="3">
        <f>NETWORKDAYS(Table13[[#This Row],[Start date]],Table13[[#This Row],[End date]])</f>
        <v>1</v>
      </c>
    </row>
    <row r="22" spans="1:5" x14ac:dyDescent="0.25">
      <c r="A22" s="8" t="s">
        <v>17</v>
      </c>
      <c r="B22" s="9">
        <v>45750</v>
      </c>
      <c r="C22" s="9">
        <v>45750</v>
      </c>
      <c r="E22" s="3">
        <f>NETWORKDAYS(Table13[[#This Row],[Start date]],Table13[[#This Row],[End date]])</f>
        <v>1</v>
      </c>
    </row>
    <row r="23" spans="1:5" s="16" customFormat="1" x14ac:dyDescent="0.25">
      <c r="A23" s="24" t="s">
        <v>48</v>
      </c>
      <c r="B23" s="25"/>
      <c r="C23" s="25"/>
      <c r="E23" s="26"/>
    </row>
    <row r="24" spans="1:5" s="16" customFormat="1" x14ac:dyDescent="0.25">
      <c r="A24" s="27" t="s">
        <v>18</v>
      </c>
      <c r="B24" s="28"/>
      <c r="C24" s="28"/>
      <c r="E24" s="29"/>
    </row>
    <row r="25" spans="1:5" x14ac:dyDescent="0.25">
      <c r="A25" s="8" t="s">
        <v>19</v>
      </c>
      <c r="B25" s="9">
        <v>45751</v>
      </c>
      <c r="C25" s="9">
        <v>45757</v>
      </c>
      <c r="E25" s="3">
        <f>NETWORKDAYS(Table13[[#This Row],[Start date]],Table13[[#This Row],[End date]])</f>
        <v>5</v>
      </c>
    </row>
    <row r="26" spans="1:5" x14ac:dyDescent="0.25">
      <c r="A26" s="8" t="s">
        <v>22</v>
      </c>
      <c r="B26" s="9">
        <v>45758</v>
      </c>
      <c r="C26" s="9">
        <v>45758</v>
      </c>
      <c r="E26" s="3">
        <f>NETWORKDAYS(Table13[[#This Row],[Start date]],Table13[[#This Row],[End date]])</f>
        <v>1</v>
      </c>
    </row>
    <row r="27" spans="1:5" x14ac:dyDescent="0.25">
      <c r="A27" s="8" t="s">
        <v>23</v>
      </c>
      <c r="B27" s="9">
        <v>45758</v>
      </c>
      <c r="C27" s="9">
        <v>45758</v>
      </c>
      <c r="E27" s="3">
        <f>NETWORKDAYS(Table13[[#This Row],[Start date]],Table13[[#This Row],[End date]])</f>
        <v>1</v>
      </c>
    </row>
    <row r="28" spans="1:5" x14ac:dyDescent="0.25">
      <c r="A28" s="8" t="s">
        <v>24</v>
      </c>
      <c r="B28" s="9">
        <v>45758</v>
      </c>
      <c r="C28" s="9">
        <v>45758</v>
      </c>
      <c r="E28" s="3">
        <f>NETWORKDAYS(Table13[[#This Row],[Start date]],Table13[[#This Row],[End date]])</f>
        <v>1</v>
      </c>
    </row>
    <row r="29" spans="1:5" x14ac:dyDescent="0.25">
      <c r="A29" s="10" t="s">
        <v>20</v>
      </c>
      <c r="B29" s="11">
        <v>45759</v>
      </c>
      <c r="C29" s="11">
        <v>45767</v>
      </c>
      <c r="E29" s="3">
        <f>NETWORKDAYS(Table13[[#This Row],[Start date]],Table13[[#This Row],[End date]])</f>
        <v>5</v>
      </c>
    </row>
    <row r="30" spans="1:5" x14ac:dyDescent="0.25">
      <c r="A30" s="10" t="s">
        <v>21</v>
      </c>
      <c r="B30" s="11">
        <v>45767</v>
      </c>
      <c r="C30" s="11">
        <v>45767</v>
      </c>
      <c r="E30" s="3">
        <f>NETWORKDAYS(Table13[[#This Row],[Start date]],Table13[[#This Row],[End date]])</f>
        <v>0</v>
      </c>
    </row>
    <row r="31" spans="1:5" s="16" customFormat="1" x14ac:dyDescent="0.25">
      <c r="A31" s="30" t="s">
        <v>39</v>
      </c>
      <c r="B31" s="31"/>
      <c r="C31" s="31"/>
      <c r="E31" s="32"/>
    </row>
    <row r="32" spans="1:5" x14ac:dyDescent="0.25">
      <c r="A32" s="8" t="s">
        <v>40</v>
      </c>
      <c r="B32" s="9">
        <v>45768</v>
      </c>
      <c r="C32" s="9">
        <v>45772</v>
      </c>
      <c r="E32" s="3">
        <f>NETWORKDAYS(Table13[[#This Row],[Start date]],Table13[[#This Row],[End date]])</f>
        <v>5</v>
      </c>
    </row>
    <row r="33" spans="1:5" x14ac:dyDescent="0.25">
      <c r="A33" s="8" t="s">
        <v>41</v>
      </c>
      <c r="B33" s="9">
        <v>45768</v>
      </c>
      <c r="C33" s="9">
        <v>45772</v>
      </c>
      <c r="E33" s="3">
        <f>NETWORKDAYS(Table13[[#This Row],[Start date]],Table13[[#This Row],[End date]])</f>
        <v>5</v>
      </c>
    </row>
    <row r="34" spans="1:5" x14ac:dyDescent="0.25">
      <c r="A34" s="8" t="s">
        <v>42</v>
      </c>
      <c r="B34" s="9">
        <v>45768</v>
      </c>
      <c r="C34" s="9">
        <v>45772</v>
      </c>
      <c r="E34" s="3">
        <f>NETWORKDAYS(Table13[[#This Row],[Start date]],Table13[[#This Row],[End date]])</f>
        <v>5</v>
      </c>
    </row>
    <row r="35" spans="1:5" x14ac:dyDescent="0.25">
      <c r="A35" s="8" t="s">
        <v>43</v>
      </c>
      <c r="B35" s="9">
        <v>45768</v>
      </c>
      <c r="C35" s="9">
        <v>45772</v>
      </c>
      <c r="E35" s="3">
        <f>NETWORKDAYS(Table13[[#This Row],[Start date]],Table13[[#This Row],[End date]])</f>
        <v>5</v>
      </c>
    </row>
    <row r="36" spans="1:5" s="16" customFormat="1" x14ac:dyDescent="0.25">
      <c r="A36" s="33" t="s">
        <v>44</v>
      </c>
      <c r="B36" s="34"/>
      <c r="C36" s="34"/>
      <c r="E36" s="35"/>
    </row>
    <row r="37" spans="1:5" x14ac:dyDescent="0.25">
      <c r="A37" s="8" t="s">
        <v>40</v>
      </c>
      <c r="B37" s="9">
        <v>45768</v>
      </c>
      <c r="C37" s="9">
        <v>45772</v>
      </c>
      <c r="E37" s="3">
        <f>NETWORKDAYS(Table13[[#This Row],[Start date]],Table13[[#This Row],[End date]])</f>
        <v>5</v>
      </c>
    </row>
    <row r="38" spans="1:5" x14ac:dyDescent="0.25">
      <c r="A38" s="8" t="s">
        <v>41</v>
      </c>
      <c r="B38" s="9">
        <v>45768</v>
      </c>
      <c r="C38" s="9">
        <v>45772</v>
      </c>
      <c r="E38" s="3">
        <f>NETWORKDAYS(Table13[[#This Row],[Start date]],Table13[[#This Row],[End date]])</f>
        <v>5</v>
      </c>
    </row>
    <row r="39" spans="1:5" x14ac:dyDescent="0.25">
      <c r="A39" s="8" t="s">
        <v>42</v>
      </c>
      <c r="B39" s="9">
        <v>45768</v>
      </c>
      <c r="C39" s="9">
        <v>45772</v>
      </c>
      <c r="E39" s="3">
        <f>NETWORKDAYS(Table13[[#This Row],[Start date]],Table13[[#This Row],[End date]])</f>
        <v>5</v>
      </c>
    </row>
    <row r="40" spans="1:5" x14ac:dyDescent="0.25">
      <c r="A40" s="8" t="s">
        <v>43</v>
      </c>
      <c r="B40" s="9">
        <v>45768</v>
      </c>
      <c r="C40" s="9">
        <v>45772</v>
      </c>
      <c r="E40" s="3">
        <f>NETWORKDAYS(Table13[[#This Row],[Start date]],Table13[[#This Row],[End date]])</f>
        <v>5</v>
      </c>
    </row>
    <row r="41" spans="1:5" s="16" customFormat="1" x14ac:dyDescent="0.25">
      <c r="A41" s="36" t="s">
        <v>45</v>
      </c>
      <c r="B41" s="37"/>
      <c r="C41" s="37"/>
      <c r="E41" s="38"/>
    </row>
    <row r="42" spans="1:5" x14ac:dyDescent="0.25">
      <c r="A42" s="8" t="s">
        <v>40</v>
      </c>
      <c r="B42" s="9">
        <v>45768</v>
      </c>
      <c r="C42" s="9">
        <v>45772</v>
      </c>
      <c r="E42" s="3">
        <f>NETWORKDAYS(Table13[[#This Row],[Start date]],Table13[[#This Row],[End date]])</f>
        <v>5</v>
      </c>
    </row>
    <row r="43" spans="1:5" x14ac:dyDescent="0.25">
      <c r="A43" s="8" t="s">
        <v>41</v>
      </c>
      <c r="B43" s="9">
        <v>45768</v>
      </c>
      <c r="C43" s="9">
        <v>45772</v>
      </c>
      <c r="E43" s="3">
        <f>NETWORKDAYS(Table13[[#This Row],[Start date]],Table13[[#This Row],[End date]])</f>
        <v>5</v>
      </c>
    </row>
    <row r="44" spans="1:5" x14ac:dyDescent="0.25">
      <c r="A44" s="8" t="s">
        <v>42</v>
      </c>
      <c r="B44" s="9">
        <v>45768</v>
      </c>
      <c r="C44" s="9">
        <v>45772</v>
      </c>
      <c r="E44" s="3">
        <f>NETWORKDAYS(Table13[[#This Row],[Start date]],Table13[[#This Row],[End date]])</f>
        <v>5</v>
      </c>
    </row>
    <row r="45" spans="1:5" x14ac:dyDescent="0.25">
      <c r="A45" s="8" t="s">
        <v>43</v>
      </c>
      <c r="B45" s="9">
        <v>45768</v>
      </c>
      <c r="C45" s="9">
        <v>45772</v>
      </c>
      <c r="E45" s="3">
        <f>NETWORKDAYS(Table13[[#This Row],[Start date]],Table13[[#This Row],[End date]])</f>
        <v>5</v>
      </c>
    </row>
    <row r="46" spans="1:5" s="16" customFormat="1" x14ac:dyDescent="0.25">
      <c r="A46" s="39" t="s">
        <v>46</v>
      </c>
      <c r="B46" s="40"/>
      <c r="C46" s="40"/>
      <c r="E46" s="41"/>
    </row>
    <row r="47" spans="1:5" x14ac:dyDescent="0.25">
      <c r="A47" s="8" t="s">
        <v>25</v>
      </c>
      <c r="B47" s="9">
        <v>45768</v>
      </c>
      <c r="C47" s="9">
        <v>45772</v>
      </c>
      <c r="E47" s="3">
        <f>NETWORKDAYS(Table13[[#This Row],[Start date]],Table13[[#This Row],[End date]])</f>
        <v>5</v>
      </c>
    </row>
    <row r="48" spans="1:5" x14ac:dyDescent="0.25">
      <c r="A48" s="8" t="s">
        <v>26</v>
      </c>
      <c r="B48" s="9">
        <v>45768</v>
      </c>
      <c r="C48" s="9">
        <v>45772</v>
      </c>
      <c r="E48" s="3">
        <f>NETWORKDAYS(Table13[[#This Row],[Start date]],Table13[[#This Row],[End date]])</f>
        <v>5</v>
      </c>
    </row>
    <row r="49" spans="1:5" x14ac:dyDescent="0.25">
      <c r="A49" s="8" t="s">
        <v>27</v>
      </c>
      <c r="B49" s="9">
        <v>45768</v>
      </c>
      <c r="C49" s="9">
        <v>45772</v>
      </c>
      <c r="E49" s="3">
        <f>NETWORKDAYS(Table13[[#This Row],[Start date]],Table13[[#This Row],[End date]])</f>
        <v>5</v>
      </c>
    </row>
    <row r="50" spans="1:5" x14ac:dyDescent="0.25">
      <c r="A50" s="8" t="s">
        <v>28</v>
      </c>
      <c r="B50" s="9">
        <v>45768</v>
      </c>
      <c r="C50" s="9">
        <v>45772</v>
      </c>
      <c r="E50" s="3">
        <f>NETWORKDAYS(Table13[[#This Row],[Start date]],Table13[[#This Row],[End date]])</f>
        <v>5</v>
      </c>
    </row>
    <row r="51" spans="1:5" s="16" customFormat="1" x14ac:dyDescent="0.25">
      <c r="A51" s="42" t="s">
        <v>29</v>
      </c>
      <c r="B51" s="43"/>
      <c r="C51" s="43"/>
      <c r="E51" s="44"/>
    </row>
    <row r="52" spans="1:5" x14ac:dyDescent="0.25">
      <c r="A52" s="8" t="s">
        <v>30</v>
      </c>
      <c r="B52" s="9">
        <v>45777.999305555597</v>
      </c>
      <c r="C52" s="9">
        <v>45777.999305555597</v>
      </c>
      <c r="E52" s="3">
        <f>NETWORKDAYS(Table13[[#This Row],[Start date]],Table13[[#This Row],[End date]])</f>
        <v>1</v>
      </c>
    </row>
    <row r="53" spans="1:5" x14ac:dyDescent="0.25">
      <c r="A53" s="8" t="s">
        <v>31</v>
      </c>
      <c r="B53" s="9">
        <v>45778.999305555597</v>
      </c>
      <c r="C53" s="9">
        <v>45778.999305555597</v>
      </c>
      <c r="E53" s="3">
        <f>NETWORKDAYS(Table13[[#This Row],[Start date]],Table13[[#This Row],[End date]])</f>
        <v>1</v>
      </c>
    </row>
    <row r="54" spans="1:5" x14ac:dyDescent="0.25">
      <c r="A54" s="8" t="s">
        <v>32</v>
      </c>
      <c r="B54" s="9">
        <v>45778.999305555597</v>
      </c>
      <c r="C54" s="9">
        <v>45778.999305555597</v>
      </c>
      <c r="E54" s="4">
        <f>NETWORKDAYS(Table13[[#This Row],[Start date]],Table13[[#This Row],[End date]])</f>
        <v>1</v>
      </c>
    </row>
    <row r="55" spans="1:5" x14ac:dyDescent="0.25">
      <c r="A55" s="12"/>
      <c r="B55" s="13"/>
      <c r="C55" s="13"/>
    </row>
    <row r="56" spans="1:5" x14ac:dyDescent="0.25">
      <c r="A56" s="45" t="s">
        <v>49</v>
      </c>
      <c r="B56" s="45"/>
      <c r="C56" s="45"/>
    </row>
  </sheetData>
  <mergeCells count="1">
    <mergeCell ref="A56:C56"/>
  </mergeCells>
  <pageMargins left="0.7" right="0.7" top="0.75" bottom="0.75" header="0.3" footer="0.3"/>
  <pageSetup scale="75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7DBDD2D50AF045B52A43BE2BF86C54" ma:contentTypeVersion="11" ma:contentTypeDescription="Create a new document." ma:contentTypeScope="" ma:versionID="03e1a8e22b812e645641ac201f538d8f">
  <xsd:schema xmlns:xsd="http://www.w3.org/2001/XMLSchema" xmlns:xs="http://www.w3.org/2001/XMLSchema" xmlns:p="http://schemas.microsoft.com/office/2006/metadata/properties" xmlns:ns2="3b750203-d231-4c5e-9d25-03c6166bf677" xmlns:ns3="adc681d3-2307-4348-9f12-a4c9702f56ce" targetNamespace="http://schemas.microsoft.com/office/2006/metadata/properties" ma:root="true" ma:fieldsID="34785865cddfa850cb447e95242b5ab0" ns2:_="" ns3:_="">
    <xsd:import namespace="3b750203-d231-4c5e-9d25-03c6166bf677"/>
    <xsd:import namespace="adc681d3-2307-4348-9f12-a4c9702f56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50203-d231-4c5e-9d25-03c6166bf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64f783-f6e5-4af9-8ab7-ee46afb642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681d3-2307-4348-9f12-a4c9702f56c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47a51a-0c75-4bf6-869a-26fdef17b017}" ma:internalName="TaxCatchAll" ma:showField="CatchAllData" ma:web="adc681d3-2307-4348-9f12-a4c9702f56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750203-d231-4c5e-9d25-03c6166bf677">
      <Terms xmlns="http://schemas.microsoft.com/office/infopath/2007/PartnerControls"/>
    </lcf76f155ced4ddcb4097134ff3c332f>
    <TaxCatchAll xmlns="adc681d3-2307-4348-9f12-a4c9702f56c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9688DE-A04E-4268-8038-E81B6FEDFA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50203-d231-4c5e-9d25-03c6166bf677"/>
    <ds:schemaRef ds:uri="adc681d3-2307-4348-9f12-a4c9702f56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5301A7-204B-4032-AFF6-E6D478D672B1}">
  <ds:schemaRefs>
    <ds:schemaRef ds:uri="http://schemas.microsoft.com/office/2006/metadata/properties"/>
    <ds:schemaRef ds:uri="http://schemas.microsoft.com/office/infopath/2007/PartnerControls"/>
    <ds:schemaRef ds:uri="3b750203-d231-4c5e-9d25-03c6166bf677"/>
    <ds:schemaRef ds:uri="adc681d3-2307-4348-9f12-a4c9702f56ce"/>
  </ds:schemaRefs>
</ds:datastoreItem>
</file>

<file path=customXml/itemProps3.xml><?xml version="1.0" encoding="utf-8"?>
<ds:datastoreItem xmlns:ds="http://schemas.openxmlformats.org/officeDocument/2006/customXml" ds:itemID="{65C4C8AC-143F-443D-977F-22AF8137D7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Named Bidding 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Reynolds</dc:creator>
  <cp:lastModifiedBy>David Reynolds</cp:lastModifiedBy>
  <cp:lastPrinted>2025-03-03T05:49:47Z</cp:lastPrinted>
  <dcterms:created xsi:type="dcterms:W3CDTF">2025-01-27T19:07:50Z</dcterms:created>
  <dcterms:modified xsi:type="dcterms:W3CDTF">2025-03-13T14:26:17Z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0x010100597DBDD2D50AF045B52A43BE2BF86C54</vt:lpwstr>
  </property>
  <property fmtid="{D5CDD505-2E9C-101B-9397-08002B2CF9AE}" pid="3" name="MediaServiceImageTags">
    <vt:lpwstr/>
  </property>
</Properties>
</file>