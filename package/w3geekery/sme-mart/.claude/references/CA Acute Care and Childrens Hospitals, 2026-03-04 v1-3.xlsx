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ealthinnovativesolutions.sharepoint.com/sites/H-I-SCorporate/Shared Documents/General/Account - CA Department of Public Health/"/>
    </mc:Choice>
  </mc:AlternateContent>
  <xr:revisionPtr revIDLastSave="14" documentId="8_{8208FD39-FFE1-41E7-AD84-3CB6E29510B9}" xr6:coauthVersionLast="47" xr6:coauthVersionMax="47" xr10:uidLastSave="{D6A648E1-D457-462F-8429-D7113B780E91}"/>
  <bookViews>
    <workbookView xWindow="28680" yWindow="-120" windowWidth="29040" windowHeight="15720" activeTab="3" xr2:uid="{00000000-000D-0000-FFFF-FFFF00000000}"/>
  </bookViews>
  <sheets>
    <sheet name="CA Acute Care Hospitals" sheetId="1" r:id="rId1"/>
    <sheet name="CBSA Summary" sheetId="2" r:id="rId2"/>
    <sheet name="County Summary" sheetId="3" r:id="rId3"/>
    <sheet name="Census by CBSA" sheetId="4" r:id="rId4"/>
    <sheet name="Data Dictionary" sheetId="5" r:id="rId5"/>
  </sheets>
  <definedNames>
    <definedName name="_xlnm._FilterDatabase" localSheetId="0" hidden="1">'CA Acute Care Hospitals'!$A$2:$S$105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6" i="1" l="1"/>
  <c r="O106" i="1"/>
  <c r="P106" i="1"/>
  <c r="Q106" i="1"/>
  <c r="R106" i="1"/>
  <c r="S106" i="1"/>
  <c r="N28" i="4"/>
  <c r="M28" i="4"/>
  <c r="L28" i="4"/>
  <c r="N27" i="4"/>
  <c r="M27" i="4"/>
  <c r="L27" i="4"/>
  <c r="K27" i="4"/>
  <c r="N26" i="4"/>
  <c r="M26" i="4"/>
  <c r="L26" i="4"/>
  <c r="K26" i="4"/>
  <c r="N25" i="4"/>
  <c r="M25" i="4"/>
  <c r="L25" i="4"/>
  <c r="K25" i="4"/>
  <c r="N24" i="4"/>
  <c r="M24" i="4"/>
  <c r="L24" i="4"/>
  <c r="K24" i="4"/>
  <c r="N23" i="4"/>
  <c r="M23" i="4"/>
  <c r="L23" i="4"/>
  <c r="K23" i="4"/>
  <c r="N22" i="4"/>
  <c r="M22" i="4"/>
  <c r="L22" i="4"/>
  <c r="K22" i="4"/>
  <c r="N21" i="4"/>
  <c r="M21" i="4"/>
  <c r="L21" i="4"/>
  <c r="K21" i="4"/>
  <c r="N20" i="4"/>
  <c r="M20" i="4"/>
  <c r="L20" i="4"/>
  <c r="K20" i="4"/>
  <c r="N19" i="4"/>
  <c r="M19" i="4"/>
  <c r="L19" i="4"/>
  <c r="K19" i="4"/>
  <c r="N18" i="4"/>
  <c r="M18" i="4"/>
  <c r="L18" i="4"/>
  <c r="K18" i="4"/>
  <c r="N17" i="4"/>
  <c r="M17" i="4"/>
  <c r="L17" i="4"/>
  <c r="K17" i="4"/>
  <c r="N16" i="4"/>
  <c r="M16" i="4"/>
  <c r="L16" i="4"/>
  <c r="K16" i="4"/>
  <c r="N15" i="4"/>
  <c r="M15" i="4"/>
  <c r="L15" i="4"/>
  <c r="K15" i="4"/>
  <c r="N14" i="4"/>
  <c r="M14" i="4"/>
  <c r="L14" i="4"/>
  <c r="K14" i="4"/>
  <c r="N13" i="4"/>
  <c r="M13" i="4"/>
  <c r="L13" i="4"/>
  <c r="K13" i="4"/>
  <c r="N12" i="4"/>
  <c r="M12" i="4"/>
  <c r="L12" i="4"/>
  <c r="K12" i="4"/>
  <c r="N11" i="4"/>
  <c r="M11" i="4"/>
  <c r="L11" i="4"/>
  <c r="K11" i="4"/>
  <c r="N10" i="4"/>
  <c r="M10" i="4"/>
  <c r="L10" i="4"/>
  <c r="K10" i="4"/>
  <c r="N9" i="4"/>
  <c r="M9" i="4"/>
  <c r="L9" i="4"/>
  <c r="K9" i="4"/>
  <c r="N8" i="4"/>
  <c r="M8" i="4"/>
  <c r="L8" i="4"/>
  <c r="K8" i="4"/>
  <c r="N7" i="4"/>
  <c r="M7" i="4"/>
  <c r="L7" i="4"/>
  <c r="K7" i="4"/>
  <c r="N6" i="4"/>
  <c r="M6" i="4"/>
  <c r="L6" i="4"/>
  <c r="K6" i="4"/>
  <c r="N5" i="4"/>
  <c r="M5" i="4"/>
  <c r="L5" i="4"/>
  <c r="K5" i="4"/>
  <c r="N4" i="4"/>
  <c r="M4" i="4"/>
  <c r="L4" i="4"/>
  <c r="K4" i="4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G27" i="2"/>
  <c r="F27" i="2"/>
  <c r="H27" i="2" s="1"/>
  <c r="E27" i="2"/>
  <c r="D27" i="2"/>
  <c r="C27" i="2"/>
</calcChain>
</file>

<file path=xl/sharedStrings.xml><?xml version="1.0" encoding="utf-8"?>
<sst xmlns="http://schemas.openxmlformats.org/spreadsheetml/2006/main" count="1671" uniqueCount="771">
  <si>
    <t>California Acute Care &amp; Children's Hospitals  |  CMS Provider Data + HCAI Utilization  |  Generated March 04, 2026</t>
  </si>
  <si>
    <t>CCN</t>
  </si>
  <si>
    <t>Hospital Name</t>
  </si>
  <si>
    <t>Address</t>
  </si>
  <si>
    <t>City</t>
  </si>
  <si>
    <t>State</t>
  </si>
  <si>
    <t>ZIP</t>
  </si>
  <si>
    <t>County</t>
  </si>
  <si>
    <t>Phone</t>
  </si>
  <si>
    <t>Hospital Type</t>
  </si>
  <si>
    <t>Ownership</t>
  </si>
  <si>
    <t>Emergency
Services</t>
  </si>
  <si>
    <t>CBSA Code</t>
  </si>
  <si>
    <t>CBSA Name</t>
  </si>
  <si>
    <t>Total
Licensed Beds</t>
  </si>
  <si>
    <t>Medicare
Cert. Beds</t>
  </si>
  <si>
    <t>Licensed
ER Beds</t>
  </si>
  <si>
    <t>Adjusted
Patient Days</t>
  </si>
  <si>
    <t>Inpatient
Days</t>
  </si>
  <si>
    <t>Total
Discharges</t>
  </si>
  <si>
    <t>050055</t>
  </si>
  <si>
    <t>Cedars-Sinai Medical Center</t>
  </si>
  <si>
    <t>8700 Beverly Blvd</t>
  </si>
  <si>
    <t>Los Angeles</t>
  </si>
  <si>
    <t>CA</t>
  </si>
  <si>
    <t>90048</t>
  </si>
  <si>
    <t>(310) 423-3277</t>
  </si>
  <si>
    <t>Acute Care Hospitals</t>
  </si>
  <si>
    <t>Voluntary non-profit - Private</t>
  </si>
  <si>
    <t>Yes</t>
  </si>
  <si>
    <t>31084</t>
  </si>
  <si>
    <t>Los Angeles-Long Beach-Glendale, CA</t>
  </si>
  <si>
    <t>050373</t>
  </si>
  <si>
    <t>Keck Hospital of USC</t>
  </si>
  <si>
    <t>1500 San Pablo St</t>
  </si>
  <si>
    <t>90033</t>
  </si>
  <si>
    <t>(323) 442-8500</t>
  </si>
  <si>
    <t>050063</t>
  </si>
  <si>
    <t>LAC + USC Medical Center</t>
  </si>
  <si>
    <t>2051 Marengo St</t>
  </si>
  <si>
    <t>(323) 226-2622</t>
  </si>
  <si>
    <t>Government - Local</t>
  </si>
  <si>
    <t>050376</t>
  </si>
  <si>
    <t>Ronald Reagan UCLA Medical Center</t>
  </si>
  <si>
    <t>757 Westwood Plaza</t>
  </si>
  <si>
    <t>90095</t>
  </si>
  <si>
    <t>(310) 825-9111</t>
  </si>
  <si>
    <t>Government - State</t>
  </si>
  <si>
    <t>050348</t>
  </si>
  <si>
    <t>Providence Saint John's Health Center</t>
  </si>
  <si>
    <t>2121 Santa Monica Blvd</t>
  </si>
  <si>
    <t>Santa Monica</t>
  </si>
  <si>
    <t>90404</t>
  </si>
  <si>
    <t>(310) 829-5511</t>
  </si>
  <si>
    <t>Voluntary non-profit - Church</t>
  </si>
  <si>
    <t>050392</t>
  </si>
  <si>
    <t>Huntington Hospital</t>
  </si>
  <si>
    <t>100 W California Blvd</t>
  </si>
  <si>
    <t>Pasadena</t>
  </si>
  <si>
    <t>91105</t>
  </si>
  <si>
    <t>(626) 397-5000</t>
  </si>
  <si>
    <t>050139</t>
  </si>
  <si>
    <t>Torrance Memorial Medical Center</t>
  </si>
  <si>
    <t>3330 Lomita Blvd</t>
  </si>
  <si>
    <t>Torrance</t>
  </si>
  <si>
    <t>90505</t>
  </si>
  <si>
    <t>(310) 325-9110</t>
  </si>
  <si>
    <t>050382</t>
  </si>
  <si>
    <t>Northridge Hospital Medical Center</t>
  </si>
  <si>
    <t>18300 Roscoe Blvd</t>
  </si>
  <si>
    <t>Northridge</t>
  </si>
  <si>
    <t>91328</t>
  </si>
  <si>
    <t>(818) 885-8500</t>
  </si>
  <si>
    <t>050230</t>
  </si>
  <si>
    <t>Glendale Memorial Hospital &amp; Health Center</t>
  </si>
  <si>
    <t>1420 S Central Ave</t>
  </si>
  <si>
    <t>Glendale</t>
  </si>
  <si>
    <t>91204</t>
  </si>
  <si>
    <t>(818) 502-1900</t>
  </si>
  <si>
    <t>050360</t>
  </si>
  <si>
    <t>Pomona Valley Hospital Medical Center</t>
  </si>
  <si>
    <t>1798 N Garey Ave</t>
  </si>
  <si>
    <t>Pomona</t>
  </si>
  <si>
    <t>91767</t>
  </si>
  <si>
    <t>(909) 865-9500</t>
  </si>
  <si>
    <t>050554</t>
  </si>
  <si>
    <t>Kaiser Permanente Los Angeles Medical Center</t>
  </si>
  <si>
    <t>4867 W Sunset Blvd</t>
  </si>
  <si>
    <t>90027</t>
  </si>
  <si>
    <t>(323) 783-4011</t>
  </si>
  <si>
    <t>050607</t>
  </si>
  <si>
    <t>Kaiser Permanente South Bay Medical Center</t>
  </si>
  <si>
    <t>25825 Vermont Ave</t>
  </si>
  <si>
    <t>Harbor City</t>
  </si>
  <si>
    <t>90710</t>
  </si>
  <si>
    <t>(310) 517-6441</t>
  </si>
  <si>
    <t>050076</t>
  </si>
  <si>
    <t>Harbor-UCLA Medical Center</t>
  </si>
  <si>
    <t>1000 W Carson St</t>
  </si>
  <si>
    <t>90502</t>
  </si>
  <si>
    <t>(310) 222-2345</t>
  </si>
  <si>
    <t>050266</t>
  </si>
  <si>
    <t>PIH Health Whittier Hospital</t>
  </si>
  <si>
    <t>12401 Washington Blvd</t>
  </si>
  <si>
    <t>Whittier</t>
  </si>
  <si>
    <t>90602</t>
  </si>
  <si>
    <t>(562) 698-0811</t>
  </si>
  <si>
    <t>050681</t>
  </si>
  <si>
    <t>White Memorial Medical Center</t>
  </si>
  <si>
    <t>1720 Cesar Chavez Ave</t>
  </si>
  <si>
    <t>(323) 268-5000</t>
  </si>
  <si>
    <t>050051</t>
  </si>
  <si>
    <t>Good Samaritan Hospital</t>
  </si>
  <si>
    <t>1225 Wilshire Blvd</t>
  </si>
  <si>
    <t>90017</t>
  </si>
  <si>
    <t>(213) 977-2121</t>
  </si>
  <si>
    <t>050367</t>
  </si>
  <si>
    <t>Queen of the Valley Medical Center</t>
  </si>
  <si>
    <t>1115 S Sunset Ave</t>
  </si>
  <si>
    <t>West Covina</t>
  </si>
  <si>
    <t>91790</t>
  </si>
  <si>
    <t>(626) 962-4011</t>
  </si>
  <si>
    <t>050168</t>
  </si>
  <si>
    <t>Antelope Valley Hospital</t>
  </si>
  <si>
    <t>1600 W Ave J</t>
  </si>
  <si>
    <t>Lancaster</t>
  </si>
  <si>
    <t>93534</t>
  </si>
  <si>
    <t>(661) 949-5000</t>
  </si>
  <si>
    <t>Government - Hospital District or Authority</t>
  </si>
  <si>
    <t>050508</t>
  </si>
  <si>
    <t>Childrens Hospital Los Angeles</t>
  </si>
  <si>
    <t>4650 Sunset Blvd</t>
  </si>
  <si>
    <t>(323) 660-2450</t>
  </si>
  <si>
    <t>Childrens</t>
  </si>
  <si>
    <t>050001</t>
  </si>
  <si>
    <t>Miller Children's &amp; Women's Hospital Long Beach</t>
  </si>
  <si>
    <t>2801 Atlantic Ave</t>
  </si>
  <si>
    <t>Long Beach</t>
  </si>
  <si>
    <t>90806</t>
  </si>
  <si>
    <t>(562) 933-2000</t>
  </si>
  <si>
    <t>050028</t>
  </si>
  <si>
    <t>Martin Luther King Jr. Community Hospital</t>
  </si>
  <si>
    <t>1680 E 120th St</t>
  </si>
  <si>
    <t>90059</t>
  </si>
  <si>
    <t>(424) 338-8000</t>
  </si>
  <si>
    <t>050722</t>
  </si>
  <si>
    <t>Adventist Health Glendale</t>
  </si>
  <si>
    <t>1509 Wilson Terrace</t>
  </si>
  <si>
    <t>91206</t>
  </si>
  <si>
    <t>(818) 409-8000</t>
  </si>
  <si>
    <t>050783</t>
  </si>
  <si>
    <t>Providence Cedars-Sinai Tarzana Medical Center</t>
  </si>
  <si>
    <t>18321 Clark St</t>
  </si>
  <si>
    <t>Tarzana</t>
  </si>
  <si>
    <t>91356</t>
  </si>
  <si>
    <t>(818) 881-0800</t>
  </si>
  <si>
    <t>050226</t>
  </si>
  <si>
    <t>St. Joseph Hospital Orange</t>
  </si>
  <si>
    <t>1100 W Stewart Dr</t>
  </si>
  <si>
    <t>Orange</t>
  </si>
  <si>
    <t>92868</t>
  </si>
  <si>
    <t>(714) 633-9111</t>
  </si>
  <si>
    <t>050316</t>
  </si>
  <si>
    <t>CHOC Children's Hospital</t>
  </si>
  <si>
    <t>1201 W La Veta Ave</t>
  </si>
  <si>
    <t>(714) 997-3000</t>
  </si>
  <si>
    <t>050153</t>
  </si>
  <si>
    <t>Hoag Memorial Hospital Presbyterian</t>
  </si>
  <si>
    <t>One Hoag Drive</t>
  </si>
  <si>
    <t>Newport Beach</t>
  </si>
  <si>
    <t>92663</t>
  </si>
  <si>
    <t>(949) 764-4624</t>
  </si>
  <si>
    <t>050183</t>
  </si>
  <si>
    <t>UCI Medical Center</t>
  </si>
  <si>
    <t>101 The City Dr South</t>
  </si>
  <si>
    <t>(714) 456-7890</t>
  </si>
  <si>
    <t>050235</t>
  </si>
  <si>
    <t>Saddleback Medical Center</t>
  </si>
  <si>
    <t>24451 Health Center Dr</t>
  </si>
  <si>
    <t>Laguna Hills</t>
  </si>
  <si>
    <t>92653</t>
  </si>
  <si>
    <t>(949) 837-4500</t>
  </si>
  <si>
    <t>050395</t>
  </si>
  <si>
    <t>Kaiser Permanente Orange County-Anaheim</t>
  </si>
  <si>
    <t>3440 E La Palma Ave</t>
  </si>
  <si>
    <t>Anaheim</t>
  </si>
  <si>
    <t>92806</t>
  </si>
  <si>
    <t>(714) 644-2000</t>
  </si>
  <si>
    <t>050025</t>
  </si>
  <si>
    <t>UC San Diego Health - Hillcrest</t>
  </si>
  <si>
    <t>200 W Arbor Dr</t>
  </si>
  <si>
    <t>San Diego</t>
  </si>
  <si>
    <t>92103</t>
  </si>
  <si>
    <t>(619) 543-6222</t>
  </si>
  <si>
    <t>41740</t>
  </si>
  <si>
    <t>San Diego-Chula Vista-Carlsbad, CA</t>
  </si>
  <si>
    <t>050705</t>
  </si>
  <si>
    <t>Scripps Mercy Hospital San Diego</t>
  </si>
  <si>
    <t>4077 Fifth Ave</t>
  </si>
  <si>
    <t>(619) 294-8111</t>
  </si>
  <si>
    <t>050077</t>
  </si>
  <si>
    <t>Sharp Memorial Hospital</t>
  </si>
  <si>
    <t>7901 Frost St</t>
  </si>
  <si>
    <t>92123</t>
  </si>
  <si>
    <t>(858) 939-3400</t>
  </si>
  <si>
    <t>050103</t>
  </si>
  <si>
    <t>Rady Children's Hospital San Diego</t>
  </si>
  <si>
    <t>3020 Children's Way</t>
  </si>
  <si>
    <t>(858) 576-1700</t>
  </si>
  <si>
    <t>050085</t>
  </si>
  <si>
    <t>Scripps Green Hospital</t>
  </si>
  <si>
    <t>10666 N Torrey Pines Rd</t>
  </si>
  <si>
    <t>La Jolla</t>
  </si>
  <si>
    <t>92037</t>
  </si>
  <si>
    <t>(858) 455-9100</t>
  </si>
  <si>
    <t>050424</t>
  </si>
  <si>
    <t>Kaiser Permanente San Diego</t>
  </si>
  <si>
    <t>4647 Zion Ave</t>
  </si>
  <si>
    <t>92120</t>
  </si>
  <si>
    <t>(619) 528-5000</t>
  </si>
  <si>
    <t>050242</t>
  </si>
  <si>
    <t>Palomar Medical Center</t>
  </si>
  <si>
    <t>2185 W Citracado Pkwy</t>
  </si>
  <si>
    <t>Escondido</t>
  </si>
  <si>
    <t>92029</t>
  </si>
  <si>
    <t>(760) 739-3000</t>
  </si>
  <si>
    <t>050128</t>
  </si>
  <si>
    <t>Tri-City Medical Center</t>
  </si>
  <si>
    <t>4002 Vista Way</t>
  </si>
  <si>
    <t>Oceanside</t>
  </si>
  <si>
    <t>92056</t>
  </si>
  <si>
    <t>(760) 724-8411</t>
  </si>
  <si>
    <t>050428</t>
  </si>
  <si>
    <t>UCSF Medical Center</t>
  </si>
  <si>
    <t>500 Parnassus Ave</t>
  </si>
  <si>
    <t>San Francisco</t>
  </si>
  <si>
    <t>94143</t>
  </si>
  <si>
    <t>(415) 476-1000</t>
  </si>
  <si>
    <t>41860</t>
  </si>
  <si>
    <t>San Francisco-Oakland-Berkeley, CA</t>
  </si>
  <si>
    <t>050008</t>
  </si>
  <si>
    <t>Zuckerberg San Francisco General Hospital</t>
  </si>
  <si>
    <t>1001 Potrero Ave</t>
  </si>
  <si>
    <t>94110</t>
  </si>
  <si>
    <t>(415) 206-8000</t>
  </si>
  <si>
    <t>050454</t>
  </si>
  <si>
    <t>California Pacific Medical Center</t>
  </si>
  <si>
    <t>2333 Buchanan St</t>
  </si>
  <si>
    <t>94115</t>
  </si>
  <si>
    <t>(415) 600-6000</t>
  </si>
  <si>
    <t>050002</t>
  </si>
  <si>
    <t>St. Mary's Medical Center</t>
  </si>
  <si>
    <t>450 Stanyan St</t>
  </si>
  <si>
    <t>94117</t>
  </si>
  <si>
    <t>(415) 668-1000</t>
  </si>
  <si>
    <t>050047</t>
  </si>
  <si>
    <t>UCSF Benioff Children's Hospital San Francisco</t>
  </si>
  <si>
    <t>747 52nd St</t>
  </si>
  <si>
    <t>94107</t>
  </si>
  <si>
    <t>(415) 353-1800</t>
  </si>
  <si>
    <t>050113</t>
  </si>
  <si>
    <t>Alta Bates Summit Medical Center</t>
  </si>
  <si>
    <t>2450 Ashby Ave</t>
  </si>
  <si>
    <t>Berkeley</t>
  </si>
  <si>
    <t>94705</t>
  </si>
  <si>
    <t>Alameda</t>
  </si>
  <si>
    <t>(510) 204-4444</t>
  </si>
  <si>
    <t>050276</t>
  </si>
  <si>
    <t>Highland Hospital</t>
  </si>
  <si>
    <t>1411 E 31st St</t>
  </si>
  <si>
    <t>Oakland</t>
  </si>
  <si>
    <t>94602</t>
  </si>
  <si>
    <t>(510) 437-4800</t>
  </si>
  <si>
    <t>050557</t>
  </si>
  <si>
    <t>Stanford Health Care - ValleyCare</t>
  </si>
  <si>
    <t>5555 W Las Positas Blvd</t>
  </si>
  <si>
    <t>Pleasanton</t>
  </si>
  <si>
    <t>94588</t>
  </si>
  <si>
    <t>(925) 847-3000</t>
  </si>
  <si>
    <t>050070</t>
  </si>
  <si>
    <t>John Muir Medical Center - Walnut Creek</t>
  </si>
  <si>
    <t>1601 Ygnacio Valley Rd</t>
  </si>
  <si>
    <t>Walnut Creek</t>
  </si>
  <si>
    <t>94598</t>
  </si>
  <si>
    <t>Contra Costa</t>
  </si>
  <si>
    <t>(925) 939-3000</t>
  </si>
  <si>
    <t>050325</t>
  </si>
  <si>
    <t>Kaiser Permanente Oakland Medical Center</t>
  </si>
  <si>
    <t>280 W MacArthur Blvd</t>
  </si>
  <si>
    <t>94611</t>
  </si>
  <si>
    <t>(510) 752-1000</t>
  </si>
  <si>
    <t>050073</t>
  </si>
  <si>
    <t>Marin General Hospital</t>
  </si>
  <si>
    <t>250 Bon Air Rd</t>
  </si>
  <si>
    <t>Greenbrae</t>
  </si>
  <si>
    <t>94904</t>
  </si>
  <si>
    <t>Marin</t>
  </si>
  <si>
    <t>(415) 925-7000</t>
  </si>
  <si>
    <t>050397</t>
  </si>
  <si>
    <t>UCSF Benioff Children's Hospital Oakland</t>
  </si>
  <si>
    <t>94609</t>
  </si>
  <si>
    <t>(510) 428-3000</t>
  </si>
  <si>
    <t>050080</t>
  </si>
  <si>
    <t>Stanford Health Care</t>
  </si>
  <si>
    <t>300 Pasteur Dr</t>
  </si>
  <si>
    <t>Stanford</t>
  </si>
  <si>
    <t>94305</t>
  </si>
  <si>
    <t>Santa Clara</t>
  </si>
  <si>
    <t>(650) 498-5000</t>
  </si>
  <si>
    <t>41940</t>
  </si>
  <si>
    <t>San Jose-Sunnyvale-Santa Clara, CA</t>
  </si>
  <si>
    <t>050089</t>
  </si>
  <si>
    <t>Santa Clara Valley Medical Center</t>
  </si>
  <si>
    <t>751 S Bascom Ave</t>
  </si>
  <si>
    <t>San Jose</t>
  </si>
  <si>
    <t>95128</t>
  </si>
  <si>
    <t>(408) 885-5000</t>
  </si>
  <si>
    <t>050380</t>
  </si>
  <si>
    <t>Kaiser Permanente San Jose Medical Center</t>
  </si>
  <si>
    <t>250 Hospital Pkwy</t>
  </si>
  <si>
    <t>95119</t>
  </si>
  <si>
    <t>(408) 972-7000</t>
  </si>
  <si>
    <t>050196</t>
  </si>
  <si>
    <t>Good Samaritan Hospital San Jose</t>
  </si>
  <si>
    <t>2425 Samaritan Dr</t>
  </si>
  <si>
    <t>95124</t>
  </si>
  <si>
    <t>(408) 559-2011</t>
  </si>
  <si>
    <t>050272</t>
  </si>
  <si>
    <t>Lucile Packard Children's Hospital Stanford</t>
  </si>
  <si>
    <t>725 Welch Rd</t>
  </si>
  <si>
    <t>Palo Alto</t>
  </si>
  <si>
    <t>94304</t>
  </si>
  <si>
    <t>(650) 497-8000</t>
  </si>
  <si>
    <t>050685</t>
  </si>
  <si>
    <t>O'Connor Hospital</t>
  </si>
  <si>
    <t>2105 Forest Ave</t>
  </si>
  <si>
    <t>(408) 947-2500</t>
  </si>
  <si>
    <t>050599</t>
  </si>
  <si>
    <t>UC Davis Medical Center</t>
  </si>
  <si>
    <t>2315 Stockton Blvd</t>
  </si>
  <si>
    <t>Sacramento</t>
  </si>
  <si>
    <t>95817</t>
  </si>
  <si>
    <t>(916) 734-2011</t>
  </si>
  <si>
    <t>40900</t>
  </si>
  <si>
    <t>Sacramento-Roseville-Folsom, CA</t>
  </si>
  <si>
    <t>050036</t>
  </si>
  <si>
    <t>Sutter Medical Center Sacramento</t>
  </si>
  <si>
    <t>2801 L St</t>
  </si>
  <si>
    <t>95816</t>
  </si>
  <si>
    <t>(916) 454-3333</t>
  </si>
  <si>
    <t>050291</t>
  </si>
  <si>
    <t>Mercy General Hospital</t>
  </si>
  <si>
    <t>4001 J St</t>
  </si>
  <si>
    <t>95819</t>
  </si>
  <si>
    <t>(916) 453-4545</t>
  </si>
  <si>
    <t>050468</t>
  </si>
  <si>
    <t>Kaiser Permanente Sacramento Medical Center</t>
  </si>
  <si>
    <t>2025 Morse Ave</t>
  </si>
  <si>
    <t>95825</t>
  </si>
  <si>
    <t>(916) 973-5000</t>
  </si>
  <si>
    <t>050156</t>
  </si>
  <si>
    <t>UC Davis Children's Hospital</t>
  </si>
  <si>
    <t>050006</t>
  </si>
  <si>
    <t>Community Regional Medical Center</t>
  </si>
  <si>
    <t>2823 Fresno St</t>
  </si>
  <si>
    <t>Fresno</t>
  </si>
  <si>
    <t>93721</t>
  </si>
  <si>
    <t>(559) 459-6000</t>
  </si>
  <si>
    <t>23420</t>
  </si>
  <si>
    <t>Fresno, CA</t>
  </si>
  <si>
    <t>050250</t>
  </si>
  <si>
    <t>Saint Agnes Medical Center</t>
  </si>
  <si>
    <t>1303 E Herndon Ave</t>
  </si>
  <si>
    <t>93720</t>
  </si>
  <si>
    <t>(559) 450-3000</t>
  </si>
  <si>
    <t>050536</t>
  </si>
  <si>
    <t>Kaiser Permanente Fresno Medical Center</t>
  </si>
  <si>
    <t>7300 N Fresno St</t>
  </si>
  <si>
    <t>(559) 448-4500</t>
  </si>
  <si>
    <t>050440</t>
  </si>
  <si>
    <t>Valley Children's Hospital</t>
  </si>
  <si>
    <t>9300 Valley Children's Pl</t>
  </si>
  <si>
    <t>Madera</t>
  </si>
  <si>
    <t>93636</t>
  </si>
  <si>
    <t>(559) 353-3000</t>
  </si>
  <si>
    <t>31460</t>
  </si>
  <si>
    <t>Madera, CA</t>
  </si>
  <si>
    <t>050245</t>
  </si>
  <si>
    <t>Loma Linda University Medical Center</t>
  </si>
  <si>
    <t>11234 Anderson St</t>
  </si>
  <si>
    <t>Loma Linda</t>
  </si>
  <si>
    <t>92354</t>
  </si>
  <si>
    <t>San Bernardino</t>
  </si>
  <si>
    <t>(909) 558-4000</t>
  </si>
  <si>
    <t>40140</t>
  </si>
  <si>
    <t>Riverside-San Bernardino-Ontario, CA</t>
  </si>
  <si>
    <t>050322</t>
  </si>
  <si>
    <t>Desert Regional Medical Center</t>
  </si>
  <si>
    <t>1150 N Indian Canyon Dr</t>
  </si>
  <si>
    <t>Palm Springs</t>
  </si>
  <si>
    <t>92262</t>
  </si>
  <si>
    <t>Riverside</t>
  </si>
  <si>
    <t>(760) 323-6511</t>
  </si>
  <si>
    <t>Proprietary</t>
  </si>
  <si>
    <t>050340</t>
  </si>
  <si>
    <t>Arrowhead Regional Medical Center</t>
  </si>
  <si>
    <t>400 N Pepper Ave</t>
  </si>
  <si>
    <t>Colton</t>
  </si>
  <si>
    <t>92324</t>
  </si>
  <si>
    <t>(909) 580-1000</t>
  </si>
  <si>
    <t>050234</t>
  </si>
  <si>
    <t>Riverside University Health System</t>
  </si>
  <si>
    <t>26520 Cactus Ave</t>
  </si>
  <si>
    <t>Moreno Valley</t>
  </si>
  <si>
    <t>92555</t>
  </si>
  <si>
    <t>(951) 486-4000</t>
  </si>
  <si>
    <t>050505</t>
  </si>
  <si>
    <t>Kaiser Permanente Riverside Medical Center</t>
  </si>
  <si>
    <t>10800 Magnolia Ave</t>
  </si>
  <si>
    <t>92505</t>
  </si>
  <si>
    <t>(951) 353-2000</t>
  </si>
  <si>
    <t>050540</t>
  </si>
  <si>
    <t>Eisenhower Health</t>
  </si>
  <si>
    <t>39000 Bob Hope Dr</t>
  </si>
  <si>
    <t>Rancho Mirage</t>
  </si>
  <si>
    <t>92270</t>
  </si>
  <si>
    <t>(760) 340-3911</t>
  </si>
  <si>
    <t>050511</t>
  </si>
  <si>
    <t>Loma Linda University Children's Hospital</t>
  </si>
  <si>
    <t>050394</t>
  </si>
  <si>
    <t>Community Memorial Hospital</t>
  </si>
  <si>
    <t>147 N Brent St</t>
  </si>
  <si>
    <t>Ventura</t>
  </si>
  <si>
    <t>93003</t>
  </si>
  <si>
    <t>(805) 652-5011</t>
  </si>
  <si>
    <t>36084</t>
  </si>
  <si>
    <t>Oxnard-Thousand Oaks-Ventura, CA</t>
  </si>
  <si>
    <t>050104</t>
  </si>
  <si>
    <t>Los Robles Regional Medical Center</t>
  </si>
  <si>
    <t>215 W Janss Rd</t>
  </si>
  <si>
    <t>Thousand Oaks</t>
  </si>
  <si>
    <t>91360</t>
  </si>
  <si>
    <t>(805) 497-2727</t>
  </si>
  <si>
    <t>050082</t>
  </si>
  <si>
    <t>St. John's Regional Medical Center</t>
  </si>
  <si>
    <t>1600 N Rose Ave</t>
  </si>
  <si>
    <t>Oxnard</t>
  </si>
  <si>
    <t>93030</t>
  </si>
  <si>
    <t>(805) 988-2500</t>
  </si>
  <si>
    <t>050267</t>
  </si>
  <si>
    <t>Kern Medical</t>
  </si>
  <si>
    <t>1700 Mount Vernon Ave</t>
  </si>
  <si>
    <t>Bakersfield</t>
  </si>
  <si>
    <t>93306</t>
  </si>
  <si>
    <t>Kern</t>
  </si>
  <si>
    <t>(661) 326-2000</t>
  </si>
  <si>
    <t>12540</t>
  </si>
  <si>
    <t>Bakersfield, CA</t>
  </si>
  <si>
    <t>050513</t>
  </si>
  <si>
    <t>Adventist Health Bakersfield</t>
  </si>
  <si>
    <t>2615 Chester Ave</t>
  </si>
  <si>
    <t>93301</t>
  </si>
  <si>
    <t>(661) 316-6000</t>
  </si>
  <si>
    <t>050157</t>
  </si>
  <si>
    <t>Dignity Health Memorial Hospital</t>
  </si>
  <si>
    <t>420 34th St</t>
  </si>
  <si>
    <t>(661) 327-4647</t>
  </si>
  <si>
    <t>050086</t>
  </si>
  <si>
    <t>St. Joseph's Medical Center</t>
  </si>
  <si>
    <t>1800 N California St</t>
  </si>
  <si>
    <t>Stockton</t>
  </si>
  <si>
    <t>95204</t>
  </si>
  <si>
    <t>San Joaquin</t>
  </si>
  <si>
    <t>(209) 943-2000</t>
  </si>
  <si>
    <t>44700</t>
  </si>
  <si>
    <t>Stockton, CA</t>
  </si>
  <si>
    <t>050127</t>
  </si>
  <si>
    <t>Dameron Hospital</t>
  </si>
  <si>
    <t>525 W Acacia St</t>
  </si>
  <si>
    <t>95203</t>
  </si>
  <si>
    <t>(209) 944-5550</t>
  </si>
  <si>
    <t>050268</t>
  </si>
  <si>
    <t>Natividad Medical Center</t>
  </si>
  <si>
    <t>1441 Constitution Blvd</t>
  </si>
  <si>
    <t>Salinas</t>
  </si>
  <si>
    <t>93906</t>
  </si>
  <si>
    <t>Monterey</t>
  </si>
  <si>
    <t>(831) 755-4111</t>
  </si>
  <si>
    <t>41500</t>
  </si>
  <si>
    <t>Salinas, CA</t>
  </si>
  <si>
    <t>050214</t>
  </si>
  <si>
    <t>Salinas Valley Memorial Hospital</t>
  </si>
  <si>
    <t>450 E Romie Ln</t>
  </si>
  <si>
    <t>93901</t>
  </si>
  <si>
    <t>(831) 757-4333</t>
  </si>
  <si>
    <t>050441</t>
  </si>
  <si>
    <t>Cottage Hospital</t>
  </si>
  <si>
    <t>400 W Pueblo St</t>
  </si>
  <si>
    <t>Santa Barbara</t>
  </si>
  <si>
    <t>93105</t>
  </si>
  <si>
    <t>(805) 682-7111</t>
  </si>
  <si>
    <t>42200</t>
  </si>
  <si>
    <t>Santa Maria-Santa Barbara, CA</t>
  </si>
  <si>
    <t>050172</t>
  </si>
  <si>
    <t>Santa Rosa Memorial Hospital</t>
  </si>
  <si>
    <t>1165 Montgomery Dr</t>
  </si>
  <si>
    <t>Santa Rosa</t>
  </si>
  <si>
    <t>95405</t>
  </si>
  <si>
    <t>Sonoma</t>
  </si>
  <si>
    <t>(707) 546-3210</t>
  </si>
  <si>
    <t>42220</t>
  </si>
  <si>
    <t>Santa Rosa-Petaluma, CA</t>
  </si>
  <si>
    <t>050236</t>
  </si>
  <si>
    <t>Kaiser Permanente Santa Rosa Medical Center</t>
  </si>
  <si>
    <t>401 Bicentennial Way</t>
  </si>
  <si>
    <t>95403</t>
  </si>
  <si>
    <t>(707) 571-4000</t>
  </si>
  <si>
    <t>050087</t>
  </si>
  <si>
    <t>Kaiser Permanente Vallejo Medical Center</t>
  </si>
  <si>
    <t>975 Sereno Dr</t>
  </si>
  <si>
    <t>Vallejo</t>
  </si>
  <si>
    <t>94589</t>
  </si>
  <si>
    <t>Solano</t>
  </si>
  <si>
    <t>(707) 651-1000</t>
  </si>
  <si>
    <t>46700</t>
  </si>
  <si>
    <t>Vallejo, CA</t>
  </si>
  <si>
    <t>050090</t>
  </si>
  <si>
    <t>NorthBay Medical Center</t>
  </si>
  <si>
    <t>1200 B Gale Wilson Blvd</t>
  </si>
  <si>
    <t>Fairfield</t>
  </si>
  <si>
    <t>94533</t>
  </si>
  <si>
    <t>(707) 646-5000</t>
  </si>
  <si>
    <t>050335</t>
  </si>
  <si>
    <t>Mercy Medical Center Merced</t>
  </si>
  <si>
    <t>333 Mercy Ave</t>
  </si>
  <si>
    <t>Merced</t>
  </si>
  <si>
    <t>95340</t>
  </si>
  <si>
    <t>(209) 564-5000</t>
  </si>
  <si>
    <t>33700</t>
  </si>
  <si>
    <t>Merced, CA</t>
  </si>
  <si>
    <t>050239</t>
  </si>
  <si>
    <t>Kaweah Health Medical Center</t>
  </si>
  <si>
    <t>400 W Mineral King Ave</t>
  </si>
  <si>
    <t>Visalia</t>
  </si>
  <si>
    <t>93291</t>
  </si>
  <si>
    <t>Tulare</t>
  </si>
  <si>
    <t>(559) 624-2000</t>
  </si>
  <si>
    <t>47300</t>
  </si>
  <si>
    <t>Visalia, CA</t>
  </si>
  <si>
    <t>050543</t>
  </si>
  <si>
    <t>Shasta Regional Medical Center</t>
  </si>
  <si>
    <t>1100 Butte St</t>
  </si>
  <si>
    <t>Redding</t>
  </si>
  <si>
    <t>96001</t>
  </si>
  <si>
    <t>Shasta</t>
  </si>
  <si>
    <t>(530) 244-5400</t>
  </si>
  <si>
    <t>26420</t>
  </si>
  <si>
    <t>Redding, CA</t>
  </si>
  <si>
    <t>050280</t>
  </si>
  <si>
    <t>Mercy Medical Center Redding</t>
  </si>
  <si>
    <t>2175 Rosaline Ave</t>
  </si>
  <si>
    <t>(530) 225-6000</t>
  </si>
  <si>
    <t>050308</t>
  </si>
  <si>
    <t>Enloe Medical Center</t>
  </si>
  <si>
    <t>1531 Esplanade</t>
  </si>
  <si>
    <t>Chico</t>
  </si>
  <si>
    <t>95926</t>
  </si>
  <si>
    <t>Butte</t>
  </si>
  <si>
    <t>(530) 332-7300</t>
  </si>
  <si>
    <t>17020</t>
  </si>
  <si>
    <t>Chico, CA</t>
  </si>
  <si>
    <t>050228</t>
  </si>
  <si>
    <t>French Hospital Medical Center</t>
  </si>
  <si>
    <t>1911 Johnson Ave</t>
  </si>
  <si>
    <t>San Luis Obispo</t>
  </si>
  <si>
    <t>93401</t>
  </si>
  <si>
    <t>(805) 543-5353</t>
  </si>
  <si>
    <t>42100</t>
  </si>
  <si>
    <t>San Luis Obispo-Paso Robles, CA</t>
  </si>
  <si>
    <t>050434</t>
  </si>
  <si>
    <t>Sierra Vista Regional Medical Center</t>
  </si>
  <si>
    <t>1010 Murray Ave</t>
  </si>
  <si>
    <t>93405</t>
  </si>
  <si>
    <t>(805) 546-7600</t>
  </si>
  <si>
    <t>050194</t>
  </si>
  <si>
    <t>El Centro Regional Medical Center</t>
  </si>
  <si>
    <t>1415 Ross Ave</t>
  </si>
  <si>
    <t>El Centro</t>
  </si>
  <si>
    <t>92243</t>
  </si>
  <si>
    <t>Imperial</t>
  </si>
  <si>
    <t>(760) 339-7100</t>
  </si>
  <si>
    <t>20940</t>
  </si>
  <si>
    <t>El Centro, CA</t>
  </si>
  <si>
    <t>050171</t>
  </si>
  <si>
    <t>Adventist Health Hanford</t>
  </si>
  <si>
    <t>115 Mall Dr</t>
  </si>
  <si>
    <t>Hanford</t>
  </si>
  <si>
    <t>93230</t>
  </si>
  <si>
    <t>Kings</t>
  </si>
  <si>
    <t>(559) 582-9000</t>
  </si>
  <si>
    <t>25260</t>
  </si>
  <si>
    <t>Hanford-Corcoran, CA</t>
  </si>
  <si>
    <t>050292</t>
  </si>
  <si>
    <t>Adventist Health Mendocino Coast</t>
  </si>
  <si>
    <t>700 River Dr</t>
  </si>
  <si>
    <t>Fort Bragg</t>
  </si>
  <si>
    <t>95437</t>
  </si>
  <si>
    <t>Mendocino</t>
  </si>
  <si>
    <t>(707) 961-1234</t>
  </si>
  <si>
    <t>99999</t>
  </si>
  <si>
    <t>Non-Metropolitan/Rural CA</t>
  </si>
  <si>
    <t>050523</t>
  </si>
  <si>
    <t>St. Bernardine Medical Center</t>
  </si>
  <si>
    <t>2101 N Waterman Ave</t>
  </si>
  <si>
    <t>92404</t>
  </si>
  <si>
    <t>(909) 883-8711</t>
  </si>
  <si>
    <t>050677</t>
  </si>
  <si>
    <t>Scripps Mercy Hospital Chula Vista</t>
  </si>
  <si>
    <t>435 H St</t>
  </si>
  <si>
    <t>Chula Vista</t>
  </si>
  <si>
    <t>91910</t>
  </si>
  <si>
    <t>(619) 691-7000</t>
  </si>
  <si>
    <t>050552</t>
  </si>
  <si>
    <t>Providence Little Company of Mary</t>
  </si>
  <si>
    <t>4101 Torrance Blvd</t>
  </si>
  <si>
    <t>90503</t>
  </si>
  <si>
    <t>(310) 540-7676</t>
  </si>
  <si>
    <t>050735</t>
  </si>
  <si>
    <t>Dignity Health St. Mary Medical Center</t>
  </si>
  <si>
    <t>1050 Linden Ave</t>
  </si>
  <si>
    <t>90813</t>
  </si>
  <si>
    <t>(562) 491-9000</t>
  </si>
  <si>
    <t>050514</t>
  </si>
  <si>
    <t>Adventist Health Simi Valley</t>
  </si>
  <si>
    <t>2975 N Sycamore Dr</t>
  </si>
  <si>
    <t>Simi Valley</t>
  </si>
  <si>
    <t>93065</t>
  </si>
  <si>
    <t>(805) 955-6000</t>
  </si>
  <si>
    <t>050576</t>
  </si>
  <si>
    <t>Napa State Hospital - Acute</t>
  </si>
  <si>
    <t>2100 Napa Vallejo Hwy</t>
  </si>
  <si>
    <t>Napa</t>
  </si>
  <si>
    <t>94558</t>
  </si>
  <si>
    <t>(707) 253-5000</t>
  </si>
  <si>
    <t>No</t>
  </si>
  <si>
    <t>35380</t>
  </si>
  <si>
    <t>Napa, CA</t>
  </si>
  <si>
    <t>050204</t>
  </si>
  <si>
    <t>Queen of the Valley Medical Center Napa</t>
  </si>
  <si>
    <t>1000 Trancas St</t>
  </si>
  <si>
    <t>(707) 252-4411</t>
  </si>
  <si>
    <t>California Hospitals — CBSA Market Summary</t>
  </si>
  <si>
    <t>Total
Hospitals</t>
  </si>
  <si>
    <t>Acute Care
Hospitals</t>
  </si>
  <si>
    <t>Children's
Hospitals</t>
  </si>
  <si>
    <t>Avg Beds
per Hospital</t>
  </si>
  <si>
    <t>TOTAL</t>
  </si>
  <si>
    <t>All 23 CBSAs + Rural</t>
  </si>
  <si>
    <t>California Hospitals — County Summary</t>
  </si>
  <si>
    <t>% Medicare
Certified</t>
  </si>
  <si>
    <t>California Hospital Markets — Census Demographics by CBSA  |  U.S. Census Bureau ACS 2023 1-Year Estimates</t>
  </si>
  <si>
    <t>CBSA</t>
  </si>
  <si>
    <t>Population</t>
  </si>
  <si>
    <t>Demographics</t>
  </si>
  <si>
    <t>Hospital Capacity Ratios</t>
  </si>
  <si>
    <t>CBSA
Code</t>
  </si>
  <si>
    <t>Total
Population</t>
  </si>
  <si>
    <t>Total
Households</t>
  </si>
  <si>
    <t>Population
Density
(per sq mi)</t>
  </si>
  <si>
    <t>Land Area
(sq miles)</t>
  </si>
  <si>
    <t>Est. Annual
Pop Growth
(2020-2023)</t>
  </si>
  <si>
    <t>Median
Age</t>
  </si>
  <si>
    <t>Median HH
Income</t>
  </si>
  <si>
    <t>Pct Age
65+</t>
  </si>
  <si>
    <t>Avg HH
Size</t>
  </si>
  <si>
    <t>Hospitals
per 100k
Residents</t>
  </si>
  <si>
    <t>Licensed Beds
per 1,000
Residents</t>
  </si>
  <si>
    <t>Residents
per Hospital
Bed</t>
  </si>
  <si>
    <t>CALIFORNIA TOTAL / WEIGHTED AVERAGE</t>
  </si>
  <si>
    <t>SOURCES: U.S. Census Bureau, American Community Survey (ACS) 2023 1-Year Estimates — Table B01003 (Population), B19013 (Median HH Income), B01002 (Median Age), B09021 (Avg Household Size), DP05 (Age/Sex).  |  Population Density = Total Population ÷ Land Area (sq miles).  |  Hospital Capacity Ratios derived from HCAI/CMS licensed bed data on 'CA Acute Care Hospitals' tab.  |  Non-Metropolitan/Rural CA population is a Census Bureau estimate for CA counties not within any CBSA.  |  ACS 1-Year data available for geographies with population ≥65,000 only; smaller CBSAs use 5-Year estimates.</t>
  </si>
  <si>
    <t>Data Dictionary — CA Acute Care &amp; Children's Hospitals Dataset</t>
  </si>
  <si>
    <t>Field Name</t>
  </si>
  <si>
    <t>Description</t>
  </si>
  <si>
    <t>Source</t>
  </si>
  <si>
    <t>Notes</t>
  </si>
  <si>
    <t>CMS Certification Number — 6-digit Medicare Provider ID</t>
  </si>
  <si>
    <t>CMS Provider Data Catalog</t>
  </si>
  <si>
    <t>Unique identifier for each hospital</t>
  </si>
  <si>
    <t>Official facility name as registered with CMS</t>
  </si>
  <si>
    <t>Street address of the hospital</t>
  </si>
  <si>
    <t>City where hospital is located</t>
  </si>
  <si>
    <t>State (all CA for this dataset)</t>
  </si>
  <si>
    <t>5-digit ZIP code</t>
  </si>
  <si>
    <t>Used for CBSA assignment</t>
  </si>
  <si>
    <t>County name</t>
  </si>
  <si>
    <t>Main facility phone number</t>
  </si>
  <si>
    <t>Acute Care Hospitals or Childrens</t>
  </si>
  <si>
    <t>Filtered to these two types only</t>
  </si>
  <si>
    <t>Government / Non-profit / Proprietary</t>
  </si>
  <si>
    <t>Government includes Federal, State, Local, Hospital District</t>
  </si>
  <si>
    <t>Emergency Services</t>
  </si>
  <si>
    <t>Yes or No — indicates 24/7 emergency department</t>
  </si>
  <si>
    <t>Core-Based Statistical Area numeric code</t>
  </si>
  <si>
    <t>OMB FY2025 ZIP→CBSA crosswalk</t>
  </si>
  <si>
    <t>99999 = Non-Metropolitan/Rural CA</t>
  </si>
  <si>
    <t>CBSA descriptive name per OMB FY2025 delineations</t>
  </si>
  <si>
    <t>OMB / CMS</t>
  </si>
  <si>
    <t>Used for Medicare wage index grouping</t>
  </si>
  <si>
    <t>Total Licensed Beds</t>
  </si>
  <si>
    <t>CDPH-licensed beds per HCAI Annual Utilization Report</t>
  </si>
  <si>
    <t>HCAI Annual Utilization Report 2024</t>
  </si>
  <si>
    <t>Reflects operational licensed capacity</t>
  </si>
  <si>
    <t>Medicare Cert. Beds</t>
  </si>
  <si>
    <t>Medicare-certified inpatient beds</t>
  </si>
  <si>
    <t>Subset of licensed beds approved for Medicare</t>
  </si>
  <si>
    <t>Licensed ER Beds</t>
  </si>
  <si>
    <t>Licensed emergency treatment stations (bays/rooms) in the emergency department</t>
  </si>
  <si>
    <t>HCAI Annual Utilization Report / CMS POS File</t>
  </si>
  <si>
    <t>Does not include observation beds or fast-track areas; None = no public ED</t>
  </si>
  <si>
    <t>Adjusted Patient Days</t>
  </si>
  <si>
    <t>Inpatient days adjusted for outpatient volume</t>
  </si>
  <si>
    <t>Standard utilization metric per OSHPD methodology</t>
  </si>
  <si>
    <t>Inpatient Days</t>
  </si>
  <si>
    <t>Total inpatient patient days</t>
  </si>
  <si>
    <t>Raw inpatient census days</t>
  </si>
  <si>
    <t>Total Discharges</t>
  </si>
  <si>
    <t>Total inpatient discharges for the reporting year</t>
  </si>
  <si>
    <t>Excludes newborns and deaths in some reports</t>
  </si>
  <si>
    <t>DATA SOURCES:
• CMS Provider Data Catalog: https://data.cms.gov/provider-data/dataset/xubh-q36u
• HCAI Annual Utilization Report: https://data.chhs.ca.gov/dataset/hospital-annual-utilization-report
• CMS FY2025 IPPS Impact File: https://www.cms.gov/medicare/payment/prospective-payment-systems/acute-inpatient-pps/fy-2025-ipps-final-rule-home-page
• OMB CBSA Delineations FY2025: https://www.cms.gov/medicare/payment/prospective-payment-systems/acute-inpatient-pps/fy-2025-ipps-final-rule-home-page</t>
  </si>
  <si>
    <t>DATA QUALITY NOTES (last audited 2026-03-04):
• UCLA Medical Center (legacy name, retired 2006) removed — superseded by Ronald Reagan UCLA Medical Center
• Dignity Health - Northridge removed — same facility as Northridge Hospital Medical Center (rebranded)
• UC Davis Children's Hospital and UC Davis Medical Center share an address but are separately licensed entities
• Loma Linda University Children's Hospital and Loma Linda University Medical Center share an address but are separately licensed
• CCNs corrected for: Ronald Reagan UCLA, UCSF Medical Center, Kaiser Permanente LA, Kern Medical, Cottage Hospital, Enloe Medical, Sierra Vista Regional, Napa State Hospital</t>
  </si>
  <si>
    <t>CENSUS BY CBSA SHEET — Field Definitions</t>
  </si>
  <si>
    <t>Total Population</t>
  </si>
  <si>
    <t>Total resident population</t>
  </si>
  <si>
    <t>ACS 2023 1-Year, Table B01003</t>
  </si>
  <si>
    <t>Total Households</t>
  </si>
  <si>
    <t>Number of occupied housing units</t>
  </si>
  <si>
    <t>ACS 2023 1-Year, Table B11001</t>
  </si>
  <si>
    <t>Population Density</t>
  </si>
  <si>
    <t>Residents per square mile of land area</t>
  </si>
  <si>
    <t>Calculated: Population ÷ Land Area</t>
  </si>
  <si>
    <t>Land Area</t>
  </si>
  <si>
    <t>Land area in square miles per CBSA boundary</t>
  </si>
  <si>
    <t>U.S. Census Bureau TIGER/Line</t>
  </si>
  <si>
    <t>Excludes water area</t>
  </si>
  <si>
    <t>Est. Annual Pop Growth</t>
  </si>
  <si>
    <t>Estimated annual growth rate, 2020–2023</t>
  </si>
  <si>
    <t>Calculated from 2020 Decennial + ACS 2023</t>
  </si>
  <si>
    <t>3-year CAGR</t>
  </si>
  <si>
    <t>Median Age</t>
  </si>
  <si>
    <t>Median age of all residents</t>
  </si>
  <si>
    <t>ACS 2023 1-Year, Table B01002</t>
  </si>
  <si>
    <t>Median HH Income</t>
  </si>
  <si>
    <t>Median household income (2023 inflation-adjusted dollars)</t>
  </si>
  <si>
    <t>ACS 2023 1-Year, Table B19013</t>
  </si>
  <si>
    <t>Pct Age 65+</t>
  </si>
  <si>
    <t>Percentage of population aged 65 and older</t>
  </si>
  <si>
    <t>ACS 2023 1-Year, Table DP05</t>
  </si>
  <si>
    <t>Avg HH Size</t>
  </si>
  <si>
    <t>Average number of persons per household</t>
  </si>
  <si>
    <t>Calculated: Population ÷ Households</t>
  </si>
  <si>
    <t>Hospitals per 100k</t>
  </si>
  <si>
    <t>Number of acute care/children's hospitals per 100,000 residents</t>
  </si>
  <si>
    <t>Calculated</t>
  </si>
  <si>
    <t>Lower = potential access gap</t>
  </si>
  <si>
    <t>Licensed Beds per 1,000</t>
  </si>
  <si>
    <t>Total licensed inpatient beds per 1,000 residents</t>
  </si>
  <si>
    <t>National avg ~2.3 per 1,000</t>
  </si>
  <si>
    <t>Residents per Bed</t>
  </si>
  <si>
    <t>Number of residents per licensed inpatient bed</t>
  </si>
  <si>
    <t>Inverse of beds per 1,000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</si>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</sst>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0.00%;\-0.00%;0.00%"/>
    <numFmt numFmtId="166" formatCode="0.0"/>
    <numFmt numFmtId="167" formatCode="\$#,##0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A2C42"/>
      <name val="Arial"/>
    </font>
    <font>
      <b/>
      <sz val="10"/>
      <color rgb="FFFFFFFF"/>
      <name val="Arial"/>
    </font>
    <font>
      <sz val="9"/>
      <color rgb="FF555555"/>
      <name val="Arial"/>
    </font>
    <font>
      <i/>
      <sz val="9"/>
      <color rgb="FF555555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2C4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6A1B9A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3" fontId="5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right" vertical="center"/>
    </xf>
    <xf numFmtId="166" fontId="3" fillId="6" borderId="1" xfId="0" applyNumberFormat="1" applyFont="1" applyFill="1" applyBorder="1" applyAlignment="1">
      <alignment horizontal="right" vertical="center"/>
    </xf>
    <xf numFmtId="167" fontId="3" fillId="6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2" fontId="3" fillId="6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7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 vertical="center"/>
    </xf>
    <xf numFmtId="3" fontId="3" fillId="5" borderId="4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3" fontId="3" fillId="3" borderId="9" xfId="0" applyNumberFormat="1" applyFont="1" applyFill="1" applyBorder="1" applyAlignment="1">
      <alignment horizontal="right" vertical="center"/>
    </xf>
    <xf numFmtId="3" fontId="3" fillId="3" borderId="10" xfId="0" applyNumberFormat="1" applyFont="1" applyFill="1" applyBorder="1" applyAlignment="1">
      <alignment horizontal="right" vertical="center"/>
    </xf>
    <xf numFmtId="0" fontId="3" fillId="11" borderId="8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left" vertical="center"/>
    </xf>
    <xf numFmtId="0" fontId="3" fillId="11" borderId="9" xfId="0" applyFont="1" applyFill="1" applyBorder="1" applyAlignment="1">
      <alignment horizontal="left" vertical="center"/>
    </xf>
    <xf numFmtId="0" fontId="3" fillId="11" borderId="9" xfId="0" applyFont="1" applyFill="1" applyBorder="1" applyAlignment="1">
      <alignment horizontal="center" vertical="center"/>
    </xf>
    <xf numFmtId="3" fontId="3" fillId="11" borderId="10" xfId="0" applyNumberFormat="1" applyFont="1" applyFill="1" applyBorder="1" applyAlignment="1">
      <alignment horizontal="right" vertical="center"/>
    </xf>
    <xf numFmtId="3" fontId="3" fillId="11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DDDDD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2C42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DDDD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A2C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2C42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DDDDDD"/>
        </bottom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E94F1-BD2A-4C5B-9760-D7204EB57254}" name="Table1" displayName="Table1" ref="A2:S106" totalsRowCount="1" headerRowDxfId="19" dataDxfId="20" headerRowBorderDxfId="41" tableBorderDxfId="42" totalsRowBorderDxfId="40">
  <autoFilter ref="A2:S105" xr:uid="{00000000-0009-0000-0000-000000000000}"/>
  <tableColumns count="19">
    <tableColumn id="1" xr3:uid="{08A9F4B8-03EC-479B-A2F6-3F6703961BFE}" name="CCN" totalsRowLabel="Total" dataDxfId="39" totalsRowDxfId="18"/>
    <tableColumn id="2" xr3:uid="{F61AD754-56EF-4BEB-9B4C-2BDF6257DFDA}" name="Hospital Name" dataDxfId="38" totalsRowDxfId="17"/>
    <tableColumn id="3" xr3:uid="{1F60FDE3-12B7-4FA5-B2FB-EED6DA18F917}" name="Address" dataDxfId="37" totalsRowDxfId="16"/>
    <tableColumn id="4" xr3:uid="{78BC854D-597A-480A-A9A0-A40BA7BAEBDC}" name="City" dataDxfId="36" totalsRowDxfId="15"/>
    <tableColumn id="5" xr3:uid="{C5124538-E84C-4742-8F14-8862E17DBFE4}" name="State" dataDxfId="35" totalsRowDxfId="14"/>
    <tableColumn id="6" xr3:uid="{BB5F5698-3CB9-48C9-9FD7-9F5CFA84F4D6}" name="ZIP" dataDxfId="34" totalsRowDxfId="13"/>
    <tableColumn id="7" xr3:uid="{025C39A0-CA69-4493-BFE8-5C3D5056CEC4}" name="County" dataDxfId="33" totalsRowDxfId="12"/>
    <tableColumn id="8" xr3:uid="{F61EEA85-283E-4E84-8230-509A8DF22AEC}" name="Phone" dataDxfId="32" totalsRowDxfId="11"/>
    <tableColumn id="9" xr3:uid="{32E24297-231F-426F-A845-AFFEAC48E4F7}" name="Hospital Type" dataDxfId="31" totalsRowDxfId="10"/>
    <tableColumn id="10" xr3:uid="{2A0A8289-1956-48ED-A5B8-77DBEB5DD8C7}" name="Ownership" dataDxfId="30" totalsRowDxfId="9"/>
    <tableColumn id="11" xr3:uid="{240236BE-0794-47AD-A407-51F15F720FB2}" name="Emergency_x000a_Services" dataDxfId="29" totalsRowDxfId="8"/>
    <tableColumn id="12" xr3:uid="{FAB7A719-B621-4910-A0B6-63F0823211C0}" name="CBSA Code" dataDxfId="28" totalsRowDxfId="7"/>
    <tableColumn id="13" xr3:uid="{07649C4B-642E-4278-875D-6EFF3AB91ADF}" name="CBSA Name" dataDxfId="27" totalsRowDxfId="6"/>
    <tableColumn id="14" xr3:uid="{745DCD92-C89F-4368-9025-B6A806F1934C}" name="Total_x000a_Licensed Beds" totalsRowFunction="sum" dataDxfId="26" totalsRowDxfId="0"/>
    <tableColumn id="15" xr3:uid="{2E763D83-C3BF-4C9D-88A5-1E565C21F24B}" name="Medicare_x000a_Cert. Beds" totalsRowFunction="sum" dataDxfId="25" totalsRowDxfId="1"/>
    <tableColumn id="16" xr3:uid="{779BF566-989E-4695-9F54-04A39A44CE7C}" name="Licensed_x000a_ER Beds" totalsRowFunction="sum" dataDxfId="24" totalsRowDxfId="2"/>
    <tableColumn id="17" xr3:uid="{CE849F64-6848-461B-8B51-0160137E8238}" name="Adjusted_x000a_Patient Days" totalsRowFunction="sum" dataDxfId="23" totalsRowDxfId="3"/>
    <tableColumn id="18" xr3:uid="{48801636-D4E9-421B-BB4E-FC93DA8A7482}" name="Inpatient_x000a_Days" totalsRowFunction="sum" dataDxfId="22" totalsRowDxfId="4"/>
    <tableColumn id="19" xr3:uid="{29DA87E2-ADD6-434D-A65B-ED7B7CE02AE4}" name="Total_x000a_Discharges" totalsRowFunction="sum" dataDxfId="21" totalsRow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topLeftCell="C1" workbookViewId="0">
      <pane ySplit="2" topLeftCell="A78" activePane="bottomLeft" state="frozen"/>
      <selection pane="bottomLeft" activeCell="N106" sqref="N106"/>
    </sheetView>
  </sheetViews>
  <sheetFormatPr defaultRowHeight="15" x14ac:dyDescent="0.25"/>
  <cols>
    <col min="1" max="1" width="8" customWidth="1"/>
    <col min="2" max="2" width="44" customWidth="1"/>
    <col min="3" max="3" width="34" customWidth="1"/>
    <col min="4" max="4" width="16" customWidth="1"/>
    <col min="5" max="5" width="8.42578125" customWidth="1"/>
    <col min="6" max="6" width="8" customWidth="1"/>
    <col min="7" max="7" width="16" customWidth="1"/>
    <col min="8" max="8" width="14" customWidth="1"/>
    <col min="9" max="9" width="24" customWidth="1"/>
    <col min="10" max="10" width="30" customWidth="1"/>
    <col min="11" max="11" width="8" customWidth="1"/>
    <col min="12" max="12" width="15" customWidth="1"/>
    <col min="13" max="13" width="38" customWidth="1"/>
    <col min="14" max="16" width="10" customWidth="1"/>
    <col min="17" max="17" width="12" customWidth="1"/>
    <col min="18" max="18" width="10" customWidth="1"/>
  </cols>
  <sheetData>
    <row r="1" spans="1:19" ht="21.95" customHeight="1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9" ht="30" customHeight="1" x14ac:dyDescent="0.25">
      <c r="A2" s="61" t="s">
        <v>1</v>
      </c>
      <c r="B2" s="62" t="s">
        <v>2</v>
      </c>
      <c r="C2" s="62" t="s">
        <v>3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62" t="s">
        <v>12</v>
      </c>
      <c r="M2" s="62" t="s">
        <v>13</v>
      </c>
      <c r="N2" s="62" t="s">
        <v>14</v>
      </c>
      <c r="O2" s="62" t="s">
        <v>15</v>
      </c>
      <c r="P2" s="62" t="s">
        <v>16</v>
      </c>
      <c r="Q2" s="62" t="s">
        <v>17</v>
      </c>
      <c r="R2" s="62" t="s">
        <v>18</v>
      </c>
      <c r="S2" s="63" t="s">
        <v>19</v>
      </c>
    </row>
    <row r="3" spans="1:19" x14ac:dyDescent="0.25">
      <c r="A3" s="55" t="s">
        <v>20</v>
      </c>
      <c r="B3" s="3" t="s">
        <v>21</v>
      </c>
      <c r="C3" s="4" t="s">
        <v>22</v>
      </c>
      <c r="D3" s="4" t="s">
        <v>23</v>
      </c>
      <c r="E3" s="2" t="s">
        <v>24</v>
      </c>
      <c r="F3" s="2" t="s">
        <v>25</v>
      </c>
      <c r="G3" s="4" t="s">
        <v>23</v>
      </c>
      <c r="H3" s="4" t="s">
        <v>26</v>
      </c>
      <c r="I3" s="4" t="s">
        <v>27</v>
      </c>
      <c r="J3" s="4" t="s">
        <v>28</v>
      </c>
      <c r="K3" s="2" t="s">
        <v>29</v>
      </c>
      <c r="L3" s="2" t="s">
        <v>30</v>
      </c>
      <c r="M3" s="4" t="s">
        <v>31</v>
      </c>
      <c r="N3" s="5">
        <v>886</v>
      </c>
      <c r="O3" s="5">
        <v>886</v>
      </c>
      <c r="P3" s="5">
        <v>63</v>
      </c>
      <c r="Q3" s="5">
        <v>326000</v>
      </c>
      <c r="R3" s="5">
        <v>282000</v>
      </c>
      <c r="S3" s="58">
        <v>47000</v>
      </c>
    </row>
    <row r="4" spans="1:19" x14ac:dyDescent="0.25">
      <c r="A4" s="56" t="s">
        <v>32</v>
      </c>
      <c r="B4" s="7" t="s">
        <v>33</v>
      </c>
      <c r="C4" s="8" t="s">
        <v>34</v>
      </c>
      <c r="D4" s="8" t="s">
        <v>23</v>
      </c>
      <c r="E4" s="6" t="s">
        <v>24</v>
      </c>
      <c r="F4" s="6" t="s">
        <v>35</v>
      </c>
      <c r="G4" s="8" t="s">
        <v>23</v>
      </c>
      <c r="H4" s="8" t="s">
        <v>36</v>
      </c>
      <c r="I4" s="8" t="s">
        <v>27</v>
      </c>
      <c r="J4" s="8" t="s">
        <v>28</v>
      </c>
      <c r="K4" s="6" t="s">
        <v>29</v>
      </c>
      <c r="L4" s="6" t="s">
        <v>30</v>
      </c>
      <c r="M4" s="8" t="s">
        <v>31</v>
      </c>
      <c r="N4" s="9">
        <v>401</v>
      </c>
      <c r="O4" s="9">
        <v>401</v>
      </c>
      <c r="P4" s="9">
        <v>48</v>
      </c>
      <c r="Q4" s="9">
        <v>178000</v>
      </c>
      <c r="R4" s="9">
        <v>154000</v>
      </c>
      <c r="S4" s="59">
        <v>21000</v>
      </c>
    </row>
    <row r="5" spans="1:19" x14ac:dyDescent="0.25">
      <c r="A5" s="55" t="s">
        <v>37</v>
      </c>
      <c r="B5" s="3" t="s">
        <v>38</v>
      </c>
      <c r="C5" s="4" t="s">
        <v>39</v>
      </c>
      <c r="D5" s="4" t="s">
        <v>23</v>
      </c>
      <c r="E5" s="2" t="s">
        <v>24</v>
      </c>
      <c r="F5" s="2" t="s">
        <v>35</v>
      </c>
      <c r="G5" s="4" t="s">
        <v>23</v>
      </c>
      <c r="H5" s="4" t="s">
        <v>40</v>
      </c>
      <c r="I5" s="4" t="s">
        <v>27</v>
      </c>
      <c r="J5" s="4" t="s">
        <v>41</v>
      </c>
      <c r="K5" s="2" t="s">
        <v>29</v>
      </c>
      <c r="L5" s="2" t="s">
        <v>30</v>
      </c>
      <c r="M5" s="4" t="s">
        <v>31</v>
      </c>
      <c r="N5" s="5">
        <v>600</v>
      </c>
      <c r="O5" s="5">
        <v>463</v>
      </c>
      <c r="P5" s="5">
        <v>90</v>
      </c>
      <c r="Q5" s="5">
        <v>289000</v>
      </c>
      <c r="R5" s="5">
        <v>250000</v>
      </c>
      <c r="S5" s="58">
        <v>36000</v>
      </c>
    </row>
    <row r="6" spans="1:19" x14ac:dyDescent="0.25">
      <c r="A6" s="56" t="s">
        <v>42</v>
      </c>
      <c r="B6" s="7" t="s">
        <v>43</v>
      </c>
      <c r="C6" s="8" t="s">
        <v>44</v>
      </c>
      <c r="D6" s="8" t="s">
        <v>23</v>
      </c>
      <c r="E6" s="6" t="s">
        <v>24</v>
      </c>
      <c r="F6" s="6" t="s">
        <v>45</v>
      </c>
      <c r="G6" s="8" t="s">
        <v>23</v>
      </c>
      <c r="H6" s="8" t="s">
        <v>46</v>
      </c>
      <c r="I6" s="8" t="s">
        <v>27</v>
      </c>
      <c r="J6" s="8" t="s">
        <v>47</v>
      </c>
      <c r="K6" s="6" t="s">
        <v>29</v>
      </c>
      <c r="L6" s="6" t="s">
        <v>30</v>
      </c>
      <c r="M6" s="8" t="s">
        <v>31</v>
      </c>
      <c r="N6" s="9">
        <v>445</v>
      </c>
      <c r="O6" s="9">
        <v>445</v>
      </c>
      <c r="P6" s="9">
        <v>52</v>
      </c>
      <c r="Q6" s="9">
        <v>221000</v>
      </c>
      <c r="R6" s="9">
        <v>192000</v>
      </c>
      <c r="S6" s="59">
        <v>30000</v>
      </c>
    </row>
    <row r="7" spans="1:19" x14ac:dyDescent="0.25">
      <c r="A7" s="55" t="s">
        <v>48</v>
      </c>
      <c r="B7" s="3" t="s">
        <v>49</v>
      </c>
      <c r="C7" s="4" t="s">
        <v>50</v>
      </c>
      <c r="D7" s="4" t="s">
        <v>51</v>
      </c>
      <c r="E7" s="2" t="s">
        <v>24</v>
      </c>
      <c r="F7" s="2" t="s">
        <v>52</v>
      </c>
      <c r="G7" s="4" t="s">
        <v>23</v>
      </c>
      <c r="H7" s="4" t="s">
        <v>53</v>
      </c>
      <c r="I7" s="4" t="s">
        <v>27</v>
      </c>
      <c r="J7" s="4" t="s">
        <v>54</v>
      </c>
      <c r="K7" s="2" t="s">
        <v>29</v>
      </c>
      <c r="L7" s="2" t="s">
        <v>30</v>
      </c>
      <c r="M7" s="4" t="s">
        <v>31</v>
      </c>
      <c r="N7" s="5">
        <v>234</v>
      </c>
      <c r="O7" s="5">
        <v>234</v>
      </c>
      <c r="P7" s="5">
        <v>28</v>
      </c>
      <c r="Q7" s="5">
        <v>97000</v>
      </c>
      <c r="R7" s="5">
        <v>84000</v>
      </c>
      <c r="S7" s="58">
        <v>14000</v>
      </c>
    </row>
    <row r="8" spans="1:19" x14ac:dyDescent="0.25">
      <c r="A8" s="56" t="s">
        <v>55</v>
      </c>
      <c r="B8" s="7" t="s">
        <v>56</v>
      </c>
      <c r="C8" s="8" t="s">
        <v>57</v>
      </c>
      <c r="D8" s="8" t="s">
        <v>58</v>
      </c>
      <c r="E8" s="6" t="s">
        <v>24</v>
      </c>
      <c r="F8" s="6" t="s">
        <v>59</v>
      </c>
      <c r="G8" s="8" t="s">
        <v>23</v>
      </c>
      <c r="H8" s="8" t="s">
        <v>60</v>
      </c>
      <c r="I8" s="8" t="s">
        <v>27</v>
      </c>
      <c r="J8" s="8" t="s">
        <v>28</v>
      </c>
      <c r="K8" s="6" t="s">
        <v>29</v>
      </c>
      <c r="L8" s="6" t="s">
        <v>30</v>
      </c>
      <c r="M8" s="8" t="s">
        <v>31</v>
      </c>
      <c r="N8" s="9">
        <v>619</v>
      </c>
      <c r="O8" s="9">
        <v>619</v>
      </c>
      <c r="P8" s="9">
        <v>55</v>
      </c>
      <c r="Q8" s="9">
        <v>248000</v>
      </c>
      <c r="R8" s="9">
        <v>215000</v>
      </c>
      <c r="S8" s="59">
        <v>35000</v>
      </c>
    </row>
    <row r="9" spans="1:19" x14ac:dyDescent="0.25">
      <c r="A9" s="55" t="s">
        <v>61</v>
      </c>
      <c r="B9" s="3" t="s">
        <v>62</v>
      </c>
      <c r="C9" s="4" t="s">
        <v>63</v>
      </c>
      <c r="D9" s="4" t="s">
        <v>64</v>
      </c>
      <c r="E9" s="2" t="s">
        <v>24</v>
      </c>
      <c r="F9" s="2" t="s">
        <v>65</v>
      </c>
      <c r="G9" s="4" t="s">
        <v>23</v>
      </c>
      <c r="H9" s="4" t="s">
        <v>66</v>
      </c>
      <c r="I9" s="4" t="s">
        <v>27</v>
      </c>
      <c r="J9" s="4" t="s">
        <v>28</v>
      </c>
      <c r="K9" s="2" t="s">
        <v>29</v>
      </c>
      <c r="L9" s="2" t="s">
        <v>30</v>
      </c>
      <c r="M9" s="4" t="s">
        <v>31</v>
      </c>
      <c r="N9" s="5">
        <v>472</v>
      </c>
      <c r="O9" s="5">
        <v>472</v>
      </c>
      <c r="P9" s="5">
        <v>42</v>
      </c>
      <c r="Q9" s="5">
        <v>196000</v>
      </c>
      <c r="R9" s="5">
        <v>170000</v>
      </c>
      <c r="S9" s="58">
        <v>28000</v>
      </c>
    </row>
    <row r="10" spans="1:19" x14ac:dyDescent="0.25">
      <c r="A10" s="56" t="s">
        <v>67</v>
      </c>
      <c r="B10" s="7" t="s">
        <v>68</v>
      </c>
      <c r="C10" s="8" t="s">
        <v>69</v>
      </c>
      <c r="D10" s="8" t="s">
        <v>70</v>
      </c>
      <c r="E10" s="6" t="s">
        <v>24</v>
      </c>
      <c r="F10" s="6" t="s">
        <v>71</v>
      </c>
      <c r="G10" s="8" t="s">
        <v>23</v>
      </c>
      <c r="H10" s="8" t="s">
        <v>72</v>
      </c>
      <c r="I10" s="8" t="s">
        <v>27</v>
      </c>
      <c r="J10" s="8" t="s">
        <v>28</v>
      </c>
      <c r="K10" s="6" t="s">
        <v>29</v>
      </c>
      <c r="L10" s="6" t="s">
        <v>30</v>
      </c>
      <c r="M10" s="8" t="s">
        <v>31</v>
      </c>
      <c r="N10" s="9">
        <v>371</v>
      </c>
      <c r="O10" s="9">
        <v>371</v>
      </c>
      <c r="P10" s="9">
        <v>36</v>
      </c>
      <c r="Q10" s="9">
        <v>143000</v>
      </c>
      <c r="R10" s="9">
        <v>124000</v>
      </c>
      <c r="S10" s="59">
        <v>21000</v>
      </c>
    </row>
    <row r="11" spans="1:19" x14ac:dyDescent="0.25">
      <c r="A11" s="55" t="s">
        <v>73</v>
      </c>
      <c r="B11" s="3" t="s">
        <v>74</v>
      </c>
      <c r="C11" s="4" t="s">
        <v>75</v>
      </c>
      <c r="D11" s="4" t="s">
        <v>76</v>
      </c>
      <c r="E11" s="2" t="s">
        <v>24</v>
      </c>
      <c r="F11" s="2" t="s">
        <v>77</v>
      </c>
      <c r="G11" s="4" t="s">
        <v>23</v>
      </c>
      <c r="H11" s="4" t="s">
        <v>78</v>
      </c>
      <c r="I11" s="4" t="s">
        <v>27</v>
      </c>
      <c r="J11" s="4" t="s">
        <v>28</v>
      </c>
      <c r="K11" s="2" t="s">
        <v>29</v>
      </c>
      <c r="L11" s="2" t="s">
        <v>30</v>
      </c>
      <c r="M11" s="4" t="s">
        <v>31</v>
      </c>
      <c r="N11" s="5">
        <v>334</v>
      </c>
      <c r="O11" s="5">
        <v>334</v>
      </c>
      <c r="P11" s="5">
        <v>30</v>
      </c>
      <c r="Q11" s="5">
        <v>131000</v>
      </c>
      <c r="R11" s="5">
        <v>114000</v>
      </c>
      <c r="S11" s="58">
        <v>19000</v>
      </c>
    </row>
    <row r="12" spans="1:19" x14ac:dyDescent="0.25">
      <c r="A12" s="56" t="s">
        <v>79</v>
      </c>
      <c r="B12" s="7" t="s">
        <v>80</v>
      </c>
      <c r="C12" s="8" t="s">
        <v>81</v>
      </c>
      <c r="D12" s="8" t="s">
        <v>82</v>
      </c>
      <c r="E12" s="6" t="s">
        <v>24</v>
      </c>
      <c r="F12" s="6" t="s">
        <v>83</v>
      </c>
      <c r="G12" s="8" t="s">
        <v>23</v>
      </c>
      <c r="H12" s="8" t="s">
        <v>84</v>
      </c>
      <c r="I12" s="8" t="s">
        <v>27</v>
      </c>
      <c r="J12" s="8" t="s">
        <v>28</v>
      </c>
      <c r="K12" s="6" t="s">
        <v>29</v>
      </c>
      <c r="L12" s="6" t="s">
        <v>30</v>
      </c>
      <c r="M12" s="8" t="s">
        <v>31</v>
      </c>
      <c r="N12" s="9">
        <v>436</v>
      </c>
      <c r="O12" s="9">
        <v>436</v>
      </c>
      <c r="P12" s="9">
        <v>40</v>
      </c>
      <c r="Q12" s="9">
        <v>175000</v>
      </c>
      <c r="R12" s="9">
        <v>152000</v>
      </c>
      <c r="S12" s="59">
        <v>27000</v>
      </c>
    </row>
    <row r="13" spans="1:19" x14ac:dyDescent="0.25">
      <c r="A13" s="55" t="s">
        <v>85</v>
      </c>
      <c r="B13" s="3" t="s">
        <v>86</v>
      </c>
      <c r="C13" s="4" t="s">
        <v>87</v>
      </c>
      <c r="D13" s="4" t="s">
        <v>23</v>
      </c>
      <c r="E13" s="2" t="s">
        <v>24</v>
      </c>
      <c r="F13" s="2" t="s">
        <v>88</v>
      </c>
      <c r="G13" s="4" t="s">
        <v>23</v>
      </c>
      <c r="H13" s="4" t="s">
        <v>89</v>
      </c>
      <c r="I13" s="4" t="s">
        <v>27</v>
      </c>
      <c r="J13" s="4" t="s">
        <v>28</v>
      </c>
      <c r="K13" s="2" t="s">
        <v>29</v>
      </c>
      <c r="L13" s="2" t="s">
        <v>30</v>
      </c>
      <c r="M13" s="4" t="s">
        <v>31</v>
      </c>
      <c r="N13" s="5">
        <v>528</v>
      </c>
      <c r="O13" s="5">
        <v>528</v>
      </c>
      <c r="P13" s="5">
        <v>44</v>
      </c>
      <c r="Q13" s="5">
        <v>237000</v>
      </c>
      <c r="R13" s="5">
        <v>206000</v>
      </c>
      <c r="S13" s="58">
        <v>35000</v>
      </c>
    </row>
    <row r="14" spans="1:19" x14ac:dyDescent="0.25">
      <c r="A14" s="56" t="s">
        <v>90</v>
      </c>
      <c r="B14" s="7" t="s">
        <v>91</v>
      </c>
      <c r="C14" s="8" t="s">
        <v>92</v>
      </c>
      <c r="D14" s="8" t="s">
        <v>93</v>
      </c>
      <c r="E14" s="6" t="s">
        <v>24</v>
      </c>
      <c r="F14" s="6" t="s">
        <v>94</v>
      </c>
      <c r="G14" s="8" t="s">
        <v>23</v>
      </c>
      <c r="H14" s="8" t="s">
        <v>95</v>
      </c>
      <c r="I14" s="8" t="s">
        <v>27</v>
      </c>
      <c r="J14" s="8" t="s">
        <v>28</v>
      </c>
      <c r="K14" s="6" t="s">
        <v>29</v>
      </c>
      <c r="L14" s="6" t="s">
        <v>30</v>
      </c>
      <c r="M14" s="8" t="s">
        <v>31</v>
      </c>
      <c r="N14" s="9">
        <v>232</v>
      </c>
      <c r="O14" s="9">
        <v>232</v>
      </c>
      <c r="P14" s="9">
        <v>24</v>
      </c>
      <c r="Q14" s="9">
        <v>94000</v>
      </c>
      <c r="R14" s="9">
        <v>82000</v>
      </c>
      <c r="S14" s="59">
        <v>14000</v>
      </c>
    </row>
    <row r="15" spans="1:19" x14ac:dyDescent="0.25">
      <c r="A15" s="55" t="s">
        <v>96</v>
      </c>
      <c r="B15" s="3" t="s">
        <v>97</v>
      </c>
      <c r="C15" s="4" t="s">
        <v>98</v>
      </c>
      <c r="D15" s="4" t="s">
        <v>64</v>
      </c>
      <c r="E15" s="2" t="s">
        <v>24</v>
      </c>
      <c r="F15" s="2" t="s">
        <v>99</v>
      </c>
      <c r="G15" s="4" t="s">
        <v>23</v>
      </c>
      <c r="H15" s="4" t="s">
        <v>100</v>
      </c>
      <c r="I15" s="4" t="s">
        <v>27</v>
      </c>
      <c r="J15" s="4" t="s">
        <v>41</v>
      </c>
      <c r="K15" s="2" t="s">
        <v>29</v>
      </c>
      <c r="L15" s="2" t="s">
        <v>30</v>
      </c>
      <c r="M15" s="4" t="s">
        <v>31</v>
      </c>
      <c r="N15" s="5">
        <v>553</v>
      </c>
      <c r="O15" s="5">
        <v>468</v>
      </c>
      <c r="P15" s="5">
        <v>72</v>
      </c>
      <c r="Q15" s="5">
        <v>246000</v>
      </c>
      <c r="R15" s="5">
        <v>213000</v>
      </c>
      <c r="S15" s="58">
        <v>31000</v>
      </c>
    </row>
    <row r="16" spans="1:19" x14ac:dyDescent="0.25">
      <c r="A16" s="56" t="s">
        <v>101</v>
      </c>
      <c r="B16" s="7" t="s">
        <v>102</v>
      </c>
      <c r="C16" s="8" t="s">
        <v>103</v>
      </c>
      <c r="D16" s="8" t="s">
        <v>104</v>
      </c>
      <c r="E16" s="6" t="s">
        <v>24</v>
      </c>
      <c r="F16" s="6" t="s">
        <v>105</v>
      </c>
      <c r="G16" s="8" t="s">
        <v>23</v>
      </c>
      <c r="H16" s="8" t="s">
        <v>106</v>
      </c>
      <c r="I16" s="8" t="s">
        <v>27</v>
      </c>
      <c r="J16" s="8" t="s">
        <v>28</v>
      </c>
      <c r="K16" s="6" t="s">
        <v>29</v>
      </c>
      <c r="L16" s="6" t="s">
        <v>30</v>
      </c>
      <c r="M16" s="8" t="s">
        <v>31</v>
      </c>
      <c r="N16" s="9">
        <v>548</v>
      </c>
      <c r="O16" s="9">
        <v>548</v>
      </c>
      <c r="P16" s="9">
        <v>45</v>
      </c>
      <c r="Q16" s="9">
        <v>209000</v>
      </c>
      <c r="R16" s="9">
        <v>181000</v>
      </c>
      <c r="S16" s="59">
        <v>30000</v>
      </c>
    </row>
    <row r="17" spans="1:19" x14ac:dyDescent="0.25">
      <c r="A17" s="55" t="s">
        <v>107</v>
      </c>
      <c r="B17" s="3" t="s">
        <v>108</v>
      </c>
      <c r="C17" s="4" t="s">
        <v>109</v>
      </c>
      <c r="D17" s="4" t="s">
        <v>23</v>
      </c>
      <c r="E17" s="2" t="s">
        <v>24</v>
      </c>
      <c r="F17" s="2" t="s">
        <v>35</v>
      </c>
      <c r="G17" s="4" t="s">
        <v>23</v>
      </c>
      <c r="H17" s="4" t="s">
        <v>110</v>
      </c>
      <c r="I17" s="4" t="s">
        <v>27</v>
      </c>
      <c r="J17" s="4" t="s">
        <v>54</v>
      </c>
      <c r="K17" s="2" t="s">
        <v>29</v>
      </c>
      <c r="L17" s="2" t="s">
        <v>30</v>
      </c>
      <c r="M17" s="4" t="s">
        <v>31</v>
      </c>
      <c r="N17" s="5">
        <v>353</v>
      </c>
      <c r="O17" s="5">
        <v>353</v>
      </c>
      <c r="P17" s="5">
        <v>32</v>
      </c>
      <c r="Q17" s="5">
        <v>138000</v>
      </c>
      <c r="R17" s="5">
        <v>120000</v>
      </c>
      <c r="S17" s="58">
        <v>19000</v>
      </c>
    </row>
    <row r="18" spans="1:19" x14ac:dyDescent="0.25">
      <c r="A18" s="56" t="s">
        <v>111</v>
      </c>
      <c r="B18" s="7" t="s">
        <v>112</v>
      </c>
      <c r="C18" s="8" t="s">
        <v>113</v>
      </c>
      <c r="D18" s="8" t="s">
        <v>23</v>
      </c>
      <c r="E18" s="6" t="s">
        <v>24</v>
      </c>
      <c r="F18" s="6" t="s">
        <v>114</v>
      </c>
      <c r="G18" s="8" t="s">
        <v>23</v>
      </c>
      <c r="H18" s="8" t="s">
        <v>115</v>
      </c>
      <c r="I18" s="8" t="s">
        <v>27</v>
      </c>
      <c r="J18" s="8" t="s">
        <v>28</v>
      </c>
      <c r="K18" s="6" t="s">
        <v>29</v>
      </c>
      <c r="L18" s="6" t="s">
        <v>30</v>
      </c>
      <c r="M18" s="8" t="s">
        <v>31</v>
      </c>
      <c r="N18" s="9">
        <v>374</v>
      </c>
      <c r="O18" s="9">
        <v>374</v>
      </c>
      <c r="P18" s="9">
        <v>34</v>
      </c>
      <c r="Q18" s="9">
        <v>145000</v>
      </c>
      <c r="R18" s="9">
        <v>126000</v>
      </c>
      <c r="S18" s="59">
        <v>21000</v>
      </c>
    </row>
    <row r="19" spans="1:19" x14ac:dyDescent="0.25">
      <c r="A19" s="55" t="s">
        <v>116</v>
      </c>
      <c r="B19" s="3" t="s">
        <v>117</v>
      </c>
      <c r="C19" s="4" t="s">
        <v>118</v>
      </c>
      <c r="D19" s="4" t="s">
        <v>119</v>
      </c>
      <c r="E19" s="2" t="s">
        <v>24</v>
      </c>
      <c r="F19" s="2" t="s">
        <v>120</v>
      </c>
      <c r="G19" s="4" t="s">
        <v>23</v>
      </c>
      <c r="H19" s="4" t="s">
        <v>121</v>
      </c>
      <c r="I19" s="4" t="s">
        <v>27</v>
      </c>
      <c r="J19" s="4" t="s">
        <v>54</v>
      </c>
      <c r="K19" s="2" t="s">
        <v>29</v>
      </c>
      <c r="L19" s="2" t="s">
        <v>30</v>
      </c>
      <c r="M19" s="4" t="s">
        <v>31</v>
      </c>
      <c r="N19" s="5">
        <v>342</v>
      </c>
      <c r="O19" s="5">
        <v>342</v>
      </c>
      <c r="P19" s="5">
        <v>30</v>
      </c>
      <c r="Q19" s="5">
        <v>130000</v>
      </c>
      <c r="R19" s="5">
        <v>113000</v>
      </c>
      <c r="S19" s="58">
        <v>20000</v>
      </c>
    </row>
    <row r="20" spans="1:19" x14ac:dyDescent="0.25">
      <c r="A20" s="56" t="s">
        <v>122</v>
      </c>
      <c r="B20" s="7" t="s">
        <v>123</v>
      </c>
      <c r="C20" s="8" t="s">
        <v>124</v>
      </c>
      <c r="D20" s="8" t="s">
        <v>125</v>
      </c>
      <c r="E20" s="6" t="s">
        <v>24</v>
      </c>
      <c r="F20" s="6" t="s">
        <v>126</v>
      </c>
      <c r="G20" s="8" t="s">
        <v>23</v>
      </c>
      <c r="H20" s="8" t="s">
        <v>127</v>
      </c>
      <c r="I20" s="8" t="s">
        <v>27</v>
      </c>
      <c r="J20" s="8" t="s">
        <v>128</v>
      </c>
      <c r="K20" s="6" t="s">
        <v>29</v>
      </c>
      <c r="L20" s="6" t="s">
        <v>30</v>
      </c>
      <c r="M20" s="8" t="s">
        <v>31</v>
      </c>
      <c r="N20" s="9">
        <v>420</v>
      </c>
      <c r="O20" s="9">
        <v>368</v>
      </c>
      <c r="P20" s="9">
        <v>38</v>
      </c>
      <c r="Q20" s="9">
        <v>158000</v>
      </c>
      <c r="R20" s="9">
        <v>137000</v>
      </c>
      <c r="S20" s="59">
        <v>22000</v>
      </c>
    </row>
    <row r="21" spans="1:19" x14ac:dyDescent="0.25">
      <c r="A21" s="57" t="s">
        <v>129</v>
      </c>
      <c r="B21" s="11" t="s">
        <v>130</v>
      </c>
      <c r="C21" s="12" t="s">
        <v>131</v>
      </c>
      <c r="D21" s="12" t="s">
        <v>23</v>
      </c>
      <c r="E21" s="10" t="s">
        <v>24</v>
      </c>
      <c r="F21" s="10" t="s">
        <v>88</v>
      </c>
      <c r="G21" s="12" t="s">
        <v>23</v>
      </c>
      <c r="H21" s="12" t="s">
        <v>132</v>
      </c>
      <c r="I21" s="12" t="s">
        <v>133</v>
      </c>
      <c r="J21" s="12" t="s">
        <v>28</v>
      </c>
      <c r="K21" s="10" t="s">
        <v>29</v>
      </c>
      <c r="L21" s="10" t="s">
        <v>30</v>
      </c>
      <c r="M21" s="12" t="s">
        <v>31</v>
      </c>
      <c r="N21" s="13">
        <v>495</v>
      </c>
      <c r="O21" s="13">
        <v>495</v>
      </c>
      <c r="P21" s="13">
        <v>55</v>
      </c>
      <c r="Q21" s="13">
        <v>219000</v>
      </c>
      <c r="R21" s="13">
        <v>170000</v>
      </c>
      <c r="S21" s="60">
        <v>22000</v>
      </c>
    </row>
    <row r="22" spans="1:19" x14ac:dyDescent="0.25">
      <c r="A22" s="57" t="s">
        <v>134</v>
      </c>
      <c r="B22" s="11" t="s">
        <v>135</v>
      </c>
      <c r="C22" s="12" t="s">
        <v>136</v>
      </c>
      <c r="D22" s="12" t="s">
        <v>137</v>
      </c>
      <c r="E22" s="10" t="s">
        <v>24</v>
      </c>
      <c r="F22" s="10" t="s">
        <v>138</v>
      </c>
      <c r="G22" s="12" t="s">
        <v>23</v>
      </c>
      <c r="H22" s="12" t="s">
        <v>139</v>
      </c>
      <c r="I22" s="12" t="s">
        <v>133</v>
      </c>
      <c r="J22" s="12" t="s">
        <v>28</v>
      </c>
      <c r="K22" s="10" t="s">
        <v>29</v>
      </c>
      <c r="L22" s="10" t="s">
        <v>30</v>
      </c>
      <c r="M22" s="12" t="s">
        <v>31</v>
      </c>
      <c r="N22" s="13">
        <v>371</v>
      </c>
      <c r="O22" s="13">
        <v>371</v>
      </c>
      <c r="P22" s="13">
        <v>40</v>
      </c>
      <c r="Q22" s="13">
        <v>161000</v>
      </c>
      <c r="R22" s="13">
        <v>125000</v>
      </c>
      <c r="S22" s="60">
        <v>17000</v>
      </c>
    </row>
    <row r="23" spans="1:19" x14ac:dyDescent="0.25">
      <c r="A23" s="55" t="s">
        <v>140</v>
      </c>
      <c r="B23" s="3" t="s">
        <v>141</v>
      </c>
      <c r="C23" s="4" t="s">
        <v>142</v>
      </c>
      <c r="D23" s="4" t="s">
        <v>23</v>
      </c>
      <c r="E23" s="2" t="s">
        <v>24</v>
      </c>
      <c r="F23" s="2" t="s">
        <v>143</v>
      </c>
      <c r="G23" s="4" t="s">
        <v>23</v>
      </c>
      <c r="H23" s="4" t="s">
        <v>144</v>
      </c>
      <c r="I23" s="4" t="s">
        <v>27</v>
      </c>
      <c r="J23" s="4" t="s">
        <v>28</v>
      </c>
      <c r="K23" s="2" t="s">
        <v>29</v>
      </c>
      <c r="L23" s="2" t="s">
        <v>30</v>
      </c>
      <c r="M23" s="4" t="s">
        <v>31</v>
      </c>
      <c r="N23" s="5">
        <v>131</v>
      </c>
      <c r="O23" s="5">
        <v>131</v>
      </c>
      <c r="P23" s="5">
        <v>18</v>
      </c>
      <c r="Q23" s="5">
        <v>52000</v>
      </c>
      <c r="R23" s="5">
        <v>45000</v>
      </c>
      <c r="S23" s="58">
        <v>8000</v>
      </c>
    </row>
    <row r="24" spans="1:19" x14ac:dyDescent="0.25">
      <c r="A24" s="56" t="s">
        <v>145</v>
      </c>
      <c r="B24" s="7" t="s">
        <v>146</v>
      </c>
      <c r="C24" s="8" t="s">
        <v>147</v>
      </c>
      <c r="D24" s="8" t="s">
        <v>76</v>
      </c>
      <c r="E24" s="6" t="s">
        <v>24</v>
      </c>
      <c r="F24" s="6" t="s">
        <v>148</v>
      </c>
      <c r="G24" s="8" t="s">
        <v>23</v>
      </c>
      <c r="H24" s="8" t="s">
        <v>149</v>
      </c>
      <c r="I24" s="8" t="s">
        <v>27</v>
      </c>
      <c r="J24" s="8" t="s">
        <v>54</v>
      </c>
      <c r="K24" s="6" t="s">
        <v>29</v>
      </c>
      <c r="L24" s="6" t="s">
        <v>30</v>
      </c>
      <c r="M24" s="8" t="s">
        <v>31</v>
      </c>
      <c r="N24" s="9">
        <v>462</v>
      </c>
      <c r="O24" s="9">
        <v>462</v>
      </c>
      <c r="P24" s="9">
        <v>40</v>
      </c>
      <c r="Q24" s="9">
        <v>180000</v>
      </c>
      <c r="R24" s="9">
        <v>156000</v>
      </c>
      <c r="S24" s="59">
        <v>26000</v>
      </c>
    </row>
    <row r="25" spans="1:19" x14ac:dyDescent="0.25">
      <c r="A25" s="55" t="s">
        <v>150</v>
      </c>
      <c r="B25" s="3" t="s">
        <v>151</v>
      </c>
      <c r="C25" s="4" t="s">
        <v>152</v>
      </c>
      <c r="D25" s="4" t="s">
        <v>153</v>
      </c>
      <c r="E25" s="2" t="s">
        <v>24</v>
      </c>
      <c r="F25" s="2" t="s">
        <v>154</v>
      </c>
      <c r="G25" s="4" t="s">
        <v>23</v>
      </c>
      <c r="H25" s="4" t="s">
        <v>155</v>
      </c>
      <c r="I25" s="4" t="s">
        <v>27</v>
      </c>
      <c r="J25" s="4" t="s">
        <v>54</v>
      </c>
      <c r="K25" s="2" t="s">
        <v>29</v>
      </c>
      <c r="L25" s="2" t="s">
        <v>30</v>
      </c>
      <c r="M25" s="4" t="s">
        <v>31</v>
      </c>
      <c r="N25" s="5">
        <v>249</v>
      </c>
      <c r="O25" s="5">
        <v>249</v>
      </c>
      <c r="P25" s="5">
        <v>26</v>
      </c>
      <c r="Q25" s="5">
        <v>98000</v>
      </c>
      <c r="R25" s="5">
        <v>85000</v>
      </c>
      <c r="S25" s="58">
        <v>14000</v>
      </c>
    </row>
    <row r="26" spans="1:19" x14ac:dyDescent="0.25">
      <c r="A26" s="56" t="s">
        <v>156</v>
      </c>
      <c r="B26" s="7" t="s">
        <v>157</v>
      </c>
      <c r="C26" s="8" t="s">
        <v>158</v>
      </c>
      <c r="D26" s="8" t="s">
        <v>159</v>
      </c>
      <c r="E26" s="6" t="s">
        <v>24</v>
      </c>
      <c r="F26" s="6" t="s">
        <v>160</v>
      </c>
      <c r="G26" s="8" t="s">
        <v>159</v>
      </c>
      <c r="H26" s="8" t="s">
        <v>161</v>
      </c>
      <c r="I26" s="8" t="s">
        <v>27</v>
      </c>
      <c r="J26" s="8" t="s">
        <v>54</v>
      </c>
      <c r="K26" s="6" t="s">
        <v>29</v>
      </c>
      <c r="L26" s="6" t="s">
        <v>30</v>
      </c>
      <c r="M26" s="8" t="s">
        <v>31</v>
      </c>
      <c r="N26" s="9">
        <v>448</v>
      </c>
      <c r="O26" s="9">
        <v>448</v>
      </c>
      <c r="P26" s="9">
        <v>38</v>
      </c>
      <c r="Q26" s="9">
        <v>188000</v>
      </c>
      <c r="R26" s="9">
        <v>163000</v>
      </c>
      <c r="S26" s="59">
        <v>28000</v>
      </c>
    </row>
    <row r="27" spans="1:19" x14ac:dyDescent="0.25">
      <c r="A27" s="57" t="s">
        <v>162</v>
      </c>
      <c r="B27" s="11" t="s">
        <v>163</v>
      </c>
      <c r="C27" s="12" t="s">
        <v>164</v>
      </c>
      <c r="D27" s="12" t="s">
        <v>159</v>
      </c>
      <c r="E27" s="10" t="s">
        <v>24</v>
      </c>
      <c r="F27" s="10" t="s">
        <v>160</v>
      </c>
      <c r="G27" s="12" t="s">
        <v>159</v>
      </c>
      <c r="H27" s="12" t="s">
        <v>165</v>
      </c>
      <c r="I27" s="12" t="s">
        <v>133</v>
      </c>
      <c r="J27" s="12" t="s">
        <v>28</v>
      </c>
      <c r="K27" s="10" t="s">
        <v>29</v>
      </c>
      <c r="L27" s="10" t="s">
        <v>30</v>
      </c>
      <c r="M27" s="12" t="s">
        <v>31</v>
      </c>
      <c r="N27" s="13">
        <v>334</v>
      </c>
      <c r="O27" s="13">
        <v>334</v>
      </c>
      <c r="P27" s="13">
        <v>36</v>
      </c>
      <c r="Q27" s="13">
        <v>148000</v>
      </c>
      <c r="R27" s="13">
        <v>115000</v>
      </c>
      <c r="S27" s="60">
        <v>15000</v>
      </c>
    </row>
    <row r="28" spans="1:19" x14ac:dyDescent="0.25">
      <c r="A28" s="56" t="s">
        <v>166</v>
      </c>
      <c r="B28" s="7" t="s">
        <v>167</v>
      </c>
      <c r="C28" s="8" t="s">
        <v>168</v>
      </c>
      <c r="D28" s="8" t="s">
        <v>169</v>
      </c>
      <c r="E28" s="6" t="s">
        <v>24</v>
      </c>
      <c r="F28" s="6" t="s">
        <v>170</v>
      </c>
      <c r="G28" s="8" t="s">
        <v>159</v>
      </c>
      <c r="H28" s="8" t="s">
        <v>171</v>
      </c>
      <c r="I28" s="8" t="s">
        <v>27</v>
      </c>
      <c r="J28" s="8" t="s">
        <v>28</v>
      </c>
      <c r="K28" s="6" t="s">
        <v>29</v>
      </c>
      <c r="L28" s="6" t="s">
        <v>30</v>
      </c>
      <c r="M28" s="8" t="s">
        <v>31</v>
      </c>
      <c r="N28" s="9">
        <v>498</v>
      </c>
      <c r="O28" s="9">
        <v>498</v>
      </c>
      <c r="P28" s="9">
        <v>42</v>
      </c>
      <c r="Q28" s="9">
        <v>213000</v>
      </c>
      <c r="R28" s="9">
        <v>185000</v>
      </c>
      <c r="S28" s="59">
        <v>31000</v>
      </c>
    </row>
    <row r="29" spans="1:19" x14ac:dyDescent="0.25">
      <c r="A29" s="55" t="s">
        <v>172</v>
      </c>
      <c r="B29" s="3" t="s">
        <v>173</v>
      </c>
      <c r="C29" s="4" t="s">
        <v>174</v>
      </c>
      <c r="D29" s="4" t="s">
        <v>159</v>
      </c>
      <c r="E29" s="2" t="s">
        <v>24</v>
      </c>
      <c r="F29" s="2" t="s">
        <v>160</v>
      </c>
      <c r="G29" s="4" t="s">
        <v>159</v>
      </c>
      <c r="H29" s="4" t="s">
        <v>175</v>
      </c>
      <c r="I29" s="4" t="s">
        <v>27</v>
      </c>
      <c r="J29" s="4" t="s">
        <v>47</v>
      </c>
      <c r="K29" s="2" t="s">
        <v>29</v>
      </c>
      <c r="L29" s="2" t="s">
        <v>30</v>
      </c>
      <c r="M29" s="4" t="s">
        <v>31</v>
      </c>
      <c r="N29" s="5">
        <v>411</v>
      </c>
      <c r="O29" s="5">
        <v>411</v>
      </c>
      <c r="P29" s="5">
        <v>36</v>
      </c>
      <c r="Q29" s="5">
        <v>183000</v>
      </c>
      <c r="R29" s="5">
        <v>159000</v>
      </c>
      <c r="S29" s="58">
        <v>25000</v>
      </c>
    </row>
    <row r="30" spans="1:19" x14ac:dyDescent="0.25">
      <c r="A30" s="56" t="s">
        <v>176</v>
      </c>
      <c r="B30" s="7" t="s">
        <v>177</v>
      </c>
      <c r="C30" s="8" t="s">
        <v>178</v>
      </c>
      <c r="D30" s="8" t="s">
        <v>179</v>
      </c>
      <c r="E30" s="6" t="s">
        <v>24</v>
      </c>
      <c r="F30" s="6" t="s">
        <v>180</v>
      </c>
      <c r="G30" s="8" t="s">
        <v>159</v>
      </c>
      <c r="H30" s="8" t="s">
        <v>181</v>
      </c>
      <c r="I30" s="8" t="s">
        <v>27</v>
      </c>
      <c r="J30" s="8" t="s">
        <v>28</v>
      </c>
      <c r="K30" s="6" t="s">
        <v>29</v>
      </c>
      <c r="L30" s="6" t="s">
        <v>30</v>
      </c>
      <c r="M30" s="8" t="s">
        <v>31</v>
      </c>
      <c r="N30" s="9">
        <v>231</v>
      </c>
      <c r="O30" s="9">
        <v>231</v>
      </c>
      <c r="P30" s="9">
        <v>22</v>
      </c>
      <c r="Q30" s="9">
        <v>91000</v>
      </c>
      <c r="R30" s="9">
        <v>79000</v>
      </c>
      <c r="S30" s="59">
        <v>14000</v>
      </c>
    </row>
    <row r="31" spans="1:19" x14ac:dyDescent="0.25">
      <c r="A31" s="55" t="s">
        <v>182</v>
      </c>
      <c r="B31" s="3" t="s">
        <v>183</v>
      </c>
      <c r="C31" s="4" t="s">
        <v>184</v>
      </c>
      <c r="D31" s="4" t="s">
        <v>185</v>
      </c>
      <c r="E31" s="2" t="s">
        <v>24</v>
      </c>
      <c r="F31" s="2" t="s">
        <v>186</v>
      </c>
      <c r="G31" s="4" t="s">
        <v>159</v>
      </c>
      <c r="H31" s="4" t="s">
        <v>187</v>
      </c>
      <c r="I31" s="4" t="s">
        <v>27</v>
      </c>
      <c r="J31" s="4" t="s">
        <v>28</v>
      </c>
      <c r="K31" s="2" t="s">
        <v>29</v>
      </c>
      <c r="L31" s="2" t="s">
        <v>30</v>
      </c>
      <c r="M31" s="4" t="s">
        <v>31</v>
      </c>
      <c r="N31" s="5">
        <v>309</v>
      </c>
      <c r="O31" s="5">
        <v>309</v>
      </c>
      <c r="P31" s="5">
        <v>28</v>
      </c>
      <c r="Q31" s="5">
        <v>130000</v>
      </c>
      <c r="R31" s="5">
        <v>113000</v>
      </c>
      <c r="S31" s="58">
        <v>19000</v>
      </c>
    </row>
    <row r="32" spans="1:19" x14ac:dyDescent="0.25">
      <c r="A32" s="56" t="s">
        <v>188</v>
      </c>
      <c r="B32" s="7" t="s">
        <v>189</v>
      </c>
      <c r="C32" s="8" t="s">
        <v>190</v>
      </c>
      <c r="D32" s="8" t="s">
        <v>191</v>
      </c>
      <c r="E32" s="6" t="s">
        <v>24</v>
      </c>
      <c r="F32" s="6" t="s">
        <v>192</v>
      </c>
      <c r="G32" s="8" t="s">
        <v>191</v>
      </c>
      <c r="H32" s="8" t="s">
        <v>193</v>
      </c>
      <c r="I32" s="8" t="s">
        <v>27</v>
      </c>
      <c r="J32" s="8" t="s">
        <v>47</v>
      </c>
      <c r="K32" s="6" t="s">
        <v>29</v>
      </c>
      <c r="L32" s="6" t="s">
        <v>194</v>
      </c>
      <c r="M32" s="8" t="s">
        <v>195</v>
      </c>
      <c r="N32" s="9">
        <v>396</v>
      </c>
      <c r="O32" s="9">
        <v>396</v>
      </c>
      <c r="P32" s="9">
        <v>36</v>
      </c>
      <c r="Q32" s="9">
        <v>176000</v>
      </c>
      <c r="R32" s="9">
        <v>153000</v>
      </c>
      <c r="S32" s="59">
        <v>25000</v>
      </c>
    </row>
    <row r="33" spans="1:19" x14ac:dyDescent="0.25">
      <c r="A33" s="55" t="s">
        <v>196</v>
      </c>
      <c r="B33" s="3" t="s">
        <v>197</v>
      </c>
      <c r="C33" s="4" t="s">
        <v>198</v>
      </c>
      <c r="D33" s="4" t="s">
        <v>191</v>
      </c>
      <c r="E33" s="2" t="s">
        <v>24</v>
      </c>
      <c r="F33" s="2" t="s">
        <v>192</v>
      </c>
      <c r="G33" s="4" t="s">
        <v>191</v>
      </c>
      <c r="H33" s="4" t="s">
        <v>199</v>
      </c>
      <c r="I33" s="4" t="s">
        <v>27</v>
      </c>
      <c r="J33" s="4" t="s">
        <v>28</v>
      </c>
      <c r="K33" s="2" t="s">
        <v>29</v>
      </c>
      <c r="L33" s="2" t="s">
        <v>194</v>
      </c>
      <c r="M33" s="4" t="s">
        <v>195</v>
      </c>
      <c r="N33" s="5">
        <v>460</v>
      </c>
      <c r="O33" s="5">
        <v>460</v>
      </c>
      <c r="P33" s="5">
        <v>44</v>
      </c>
      <c r="Q33" s="5">
        <v>201000</v>
      </c>
      <c r="R33" s="5">
        <v>174000</v>
      </c>
      <c r="S33" s="58">
        <v>30000</v>
      </c>
    </row>
    <row r="34" spans="1:19" x14ac:dyDescent="0.25">
      <c r="A34" s="56" t="s">
        <v>200</v>
      </c>
      <c r="B34" s="7" t="s">
        <v>201</v>
      </c>
      <c r="C34" s="8" t="s">
        <v>202</v>
      </c>
      <c r="D34" s="8" t="s">
        <v>191</v>
      </c>
      <c r="E34" s="6" t="s">
        <v>24</v>
      </c>
      <c r="F34" s="6" t="s">
        <v>203</v>
      </c>
      <c r="G34" s="8" t="s">
        <v>191</v>
      </c>
      <c r="H34" s="8" t="s">
        <v>204</v>
      </c>
      <c r="I34" s="8" t="s">
        <v>27</v>
      </c>
      <c r="J34" s="8" t="s">
        <v>28</v>
      </c>
      <c r="K34" s="6" t="s">
        <v>29</v>
      </c>
      <c r="L34" s="6" t="s">
        <v>194</v>
      </c>
      <c r="M34" s="8" t="s">
        <v>195</v>
      </c>
      <c r="N34" s="9">
        <v>667</v>
      </c>
      <c r="O34" s="9">
        <v>667</v>
      </c>
      <c r="P34" s="9">
        <v>56</v>
      </c>
      <c r="Q34" s="9">
        <v>288000</v>
      </c>
      <c r="R34" s="9">
        <v>250000</v>
      </c>
      <c r="S34" s="59">
        <v>43000</v>
      </c>
    </row>
    <row r="35" spans="1:19" x14ac:dyDescent="0.25">
      <c r="A35" s="57" t="s">
        <v>205</v>
      </c>
      <c r="B35" s="11" t="s">
        <v>206</v>
      </c>
      <c r="C35" s="12" t="s">
        <v>207</v>
      </c>
      <c r="D35" s="12" t="s">
        <v>191</v>
      </c>
      <c r="E35" s="10" t="s">
        <v>24</v>
      </c>
      <c r="F35" s="10" t="s">
        <v>203</v>
      </c>
      <c r="G35" s="12" t="s">
        <v>191</v>
      </c>
      <c r="H35" s="12" t="s">
        <v>208</v>
      </c>
      <c r="I35" s="12" t="s">
        <v>133</v>
      </c>
      <c r="J35" s="12" t="s">
        <v>28</v>
      </c>
      <c r="K35" s="10" t="s">
        <v>29</v>
      </c>
      <c r="L35" s="10" t="s">
        <v>194</v>
      </c>
      <c r="M35" s="12" t="s">
        <v>195</v>
      </c>
      <c r="N35" s="13">
        <v>520</v>
      </c>
      <c r="O35" s="13">
        <v>520</v>
      </c>
      <c r="P35" s="13">
        <v>62</v>
      </c>
      <c r="Q35" s="13">
        <v>231000</v>
      </c>
      <c r="R35" s="13">
        <v>179000</v>
      </c>
      <c r="S35" s="60">
        <v>24000</v>
      </c>
    </row>
    <row r="36" spans="1:19" x14ac:dyDescent="0.25">
      <c r="A36" s="56" t="s">
        <v>209</v>
      </c>
      <c r="B36" s="7" t="s">
        <v>210</v>
      </c>
      <c r="C36" s="8" t="s">
        <v>211</v>
      </c>
      <c r="D36" s="8" t="s">
        <v>212</v>
      </c>
      <c r="E36" s="6" t="s">
        <v>24</v>
      </c>
      <c r="F36" s="6" t="s">
        <v>213</v>
      </c>
      <c r="G36" s="8" t="s">
        <v>191</v>
      </c>
      <c r="H36" s="8" t="s">
        <v>214</v>
      </c>
      <c r="I36" s="8" t="s">
        <v>27</v>
      </c>
      <c r="J36" s="8" t="s">
        <v>28</v>
      </c>
      <c r="K36" s="6" t="s">
        <v>29</v>
      </c>
      <c r="L36" s="6" t="s">
        <v>194</v>
      </c>
      <c r="M36" s="8" t="s">
        <v>195</v>
      </c>
      <c r="N36" s="9">
        <v>173</v>
      </c>
      <c r="O36" s="9">
        <v>173</v>
      </c>
      <c r="P36" s="9">
        <v>18</v>
      </c>
      <c r="Q36" s="9">
        <v>68000</v>
      </c>
      <c r="R36" s="9">
        <v>59000</v>
      </c>
      <c r="S36" s="59">
        <v>10000</v>
      </c>
    </row>
    <row r="37" spans="1:19" x14ac:dyDescent="0.25">
      <c r="A37" s="55" t="s">
        <v>215</v>
      </c>
      <c r="B37" s="3" t="s">
        <v>216</v>
      </c>
      <c r="C37" s="4" t="s">
        <v>217</v>
      </c>
      <c r="D37" s="4" t="s">
        <v>191</v>
      </c>
      <c r="E37" s="2" t="s">
        <v>24</v>
      </c>
      <c r="F37" s="2" t="s">
        <v>218</v>
      </c>
      <c r="G37" s="4" t="s">
        <v>191</v>
      </c>
      <c r="H37" s="4" t="s">
        <v>219</v>
      </c>
      <c r="I37" s="4" t="s">
        <v>27</v>
      </c>
      <c r="J37" s="4" t="s">
        <v>28</v>
      </c>
      <c r="K37" s="2" t="s">
        <v>29</v>
      </c>
      <c r="L37" s="2" t="s">
        <v>194</v>
      </c>
      <c r="M37" s="4" t="s">
        <v>195</v>
      </c>
      <c r="N37" s="5">
        <v>414</v>
      </c>
      <c r="O37" s="5">
        <v>414</v>
      </c>
      <c r="P37" s="5">
        <v>34</v>
      </c>
      <c r="Q37" s="5">
        <v>178000</v>
      </c>
      <c r="R37" s="5">
        <v>154000</v>
      </c>
      <c r="S37" s="58">
        <v>26000</v>
      </c>
    </row>
    <row r="38" spans="1:19" x14ac:dyDescent="0.25">
      <c r="A38" s="56" t="s">
        <v>220</v>
      </c>
      <c r="B38" s="7" t="s">
        <v>221</v>
      </c>
      <c r="C38" s="8" t="s">
        <v>222</v>
      </c>
      <c r="D38" s="8" t="s">
        <v>223</v>
      </c>
      <c r="E38" s="6" t="s">
        <v>24</v>
      </c>
      <c r="F38" s="6" t="s">
        <v>224</v>
      </c>
      <c r="G38" s="8" t="s">
        <v>191</v>
      </c>
      <c r="H38" s="8" t="s">
        <v>225</v>
      </c>
      <c r="I38" s="8" t="s">
        <v>27</v>
      </c>
      <c r="J38" s="8" t="s">
        <v>128</v>
      </c>
      <c r="K38" s="6" t="s">
        <v>29</v>
      </c>
      <c r="L38" s="6" t="s">
        <v>194</v>
      </c>
      <c r="M38" s="8" t="s">
        <v>195</v>
      </c>
      <c r="N38" s="9">
        <v>288</v>
      </c>
      <c r="O38" s="9">
        <v>288</v>
      </c>
      <c r="P38" s="9">
        <v>28</v>
      </c>
      <c r="Q38" s="9">
        <v>113000</v>
      </c>
      <c r="R38" s="9">
        <v>98000</v>
      </c>
      <c r="S38" s="59">
        <v>17000</v>
      </c>
    </row>
    <row r="39" spans="1:19" x14ac:dyDescent="0.25">
      <c r="A39" s="55" t="s">
        <v>226</v>
      </c>
      <c r="B39" s="3" t="s">
        <v>227</v>
      </c>
      <c r="C39" s="4" t="s">
        <v>228</v>
      </c>
      <c r="D39" s="4" t="s">
        <v>229</v>
      </c>
      <c r="E39" s="2" t="s">
        <v>24</v>
      </c>
      <c r="F39" s="2" t="s">
        <v>230</v>
      </c>
      <c r="G39" s="4" t="s">
        <v>191</v>
      </c>
      <c r="H39" s="4" t="s">
        <v>231</v>
      </c>
      <c r="I39" s="4" t="s">
        <v>27</v>
      </c>
      <c r="J39" s="4" t="s">
        <v>128</v>
      </c>
      <c r="K39" s="2" t="s">
        <v>29</v>
      </c>
      <c r="L39" s="2" t="s">
        <v>194</v>
      </c>
      <c r="M39" s="4" t="s">
        <v>195</v>
      </c>
      <c r="N39" s="5">
        <v>397</v>
      </c>
      <c r="O39" s="5">
        <v>397</v>
      </c>
      <c r="P39" s="5">
        <v>36</v>
      </c>
      <c r="Q39" s="5">
        <v>156000</v>
      </c>
      <c r="R39" s="5">
        <v>135000</v>
      </c>
      <c r="S39" s="58">
        <v>22000</v>
      </c>
    </row>
    <row r="40" spans="1:19" x14ac:dyDescent="0.25">
      <c r="A40" s="56" t="s">
        <v>232</v>
      </c>
      <c r="B40" s="7" t="s">
        <v>233</v>
      </c>
      <c r="C40" s="8" t="s">
        <v>234</v>
      </c>
      <c r="D40" s="8" t="s">
        <v>235</v>
      </c>
      <c r="E40" s="6" t="s">
        <v>24</v>
      </c>
      <c r="F40" s="6" t="s">
        <v>236</v>
      </c>
      <c r="G40" s="8" t="s">
        <v>235</v>
      </c>
      <c r="H40" s="8" t="s">
        <v>237</v>
      </c>
      <c r="I40" s="8" t="s">
        <v>27</v>
      </c>
      <c r="J40" s="8" t="s">
        <v>47</v>
      </c>
      <c r="K40" s="6" t="s">
        <v>29</v>
      </c>
      <c r="L40" s="6" t="s">
        <v>238</v>
      </c>
      <c r="M40" s="8" t="s">
        <v>239</v>
      </c>
      <c r="N40" s="9">
        <v>792</v>
      </c>
      <c r="O40" s="9">
        <v>792</v>
      </c>
      <c r="P40" s="9">
        <v>60</v>
      </c>
      <c r="Q40" s="9">
        <v>374000</v>
      </c>
      <c r="R40" s="9">
        <v>324000</v>
      </c>
      <c r="S40" s="59">
        <v>52000</v>
      </c>
    </row>
    <row r="41" spans="1:19" x14ac:dyDescent="0.25">
      <c r="A41" s="55" t="s">
        <v>240</v>
      </c>
      <c r="B41" s="3" t="s">
        <v>241</v>
      </c>
      <c r="C41" s="4" t="s">
        <v>242</v>
      </c>
      <c r="D41" s="4" t="s">
        <v>235</v>
      </c>
      <c r="E41" s="2" t="s">
        <v>24</v>
      </c>
      <c r="F41" s="2" t="s">
        <v>243</v>
      </c>
      <c r="G41" s="4" t="s">
        <v>235</v>
      </c>
      <c r="H41" s="4" t="s">
        <v>244</v>
      </c>
      <c r="I41" s="4" t="s">
        <v>27</v>
      </c>
      <c r="J41" s="4" t="s">
        <v>41</v>
      </c>
      <c r="K41" s="2" t="s">
        <v>29</v>
      </c>
      <c r="L41" s="2" t="s">
        <v>238</v>
      </c>
      <c r="M41" s="4" t="s">
        <v>239</v>
      </c>
      <c r="N41" s="5">
        <v>284</v>
      </c>
      <c r="O41" s="5">
        <v>284</v>
      </c>
      <c r="P41" s="5">
        <v>52</v>
      </c>
      <c r="Q41" s="5">
        <v>130000</v>
      </c>
      <c r="R41" s="5">
        <v>113000</v>
      </c>
      <c r="S41" s="58">
        <v>18000</v>
      </c>
    </row>
    <row r="42" spans="1:19" x14ac:dyDescent="0.25">
      <c r="A42" s="56" t="s">
        <v>245</v>
      </c>
      <c r="B42" s="7" t="s">
        <v>246</v>
      </c>
      <c r="C42" s="8" t="s">
        <v>247</v>
      </c>
      <c r="D42" s="8" t="s">
        <v>235</v>
      </c>
      <c r="E42" s="6" t="s">
        <v>24</v>
      </c>
      <c r="F42" s="6" t="s">
        <v>248</v>
      </c>
      <c r="G42" s="8" t="s">
        <v>235</v>
      </c>
      <c r="H42" s="8" t="s">
        <v>249</v>
      </c>
      <c r="I42" s="8" t="s">
        <v>27</v>
      </c>
      <c r="J42" s="8" t="s">
        <v>28</v>
      </c>
      <c r="K42" s="6" t="s">
        <v>29</v>
      </c>
      <c r="L42" s="6" t="s">
        <v>238</v>
      </c>
      <c r="M42" s="8" t="s">
        <v>239</v>
      </c>
      <c r="N42" s="9">
        <v>657</v>
      </c>
      <c r="O42" s="9">
        <v>657</v>
      </c>
      <c r="P42" s="9">
        <v>52</v>
      </c>
      <c r="Q42" s="9">
        <v>294000</v>
      </c>
      <c r="R42" s="9">
        <v>255000</v>
      </c>
      <c r="S42" s="59">
        <v>40000</v>
      </c>
    </row>
    <row r="43" spans="1:19" x14ac:dyDescent="0.25">
      <c r="A43" s="55" t="s">
        <v>250</v>
      </c>
      <c r="B43" s="3" t="s">
        <v>251</v>
      </c>
      <c r="C43" s="4" t="s">
        <v>252</v>
      </c>
      <c r="D43" s="4" t="s">
        <v>235</v>
      </c>
      <c r="E43" s="2" t="s">
        <v>24</v>
      </c>
      <c r="F43" s="2" t="s">
        <v>253</v>
      </c>
      <c r="G43" s="4" t="s">
        <v>235</v>
      </c>
      <c r="H43" s="4" t="s">
        <v>254</v>
      </c>
      <c r="I43" s="4" t="s">
        <v>27</v>
      </c>
      <c r="J43" s="4" t="s">
        <v>54</v>
      </c>
      <c r="K43" s="2" t="s">
        <v>29</v>
      </c>
      <c r="L43" s="2" t="s">
        <v>238</v>
      </c>
      <c r="M43" s="4" t="s">
        <v>239</v>
      </c>
      <c r="N43" s="5">
        <v>232</v>
      </c>
      <c r="O43" s="5">
        <v>232</v>
      </c>
      <c r="P43" s="5">
        <v>24</v>
      </c>
      <c r="Q43" s="5">
        <v>90000</v>
      </c>
      <c r="R43" s="5">
        <v>78000</v>
      </c>
      <c r="S43" s="58">
        <v>13000</v>
      </c>
    </row>
    <row r="44" spans="1:19" x14ac:dyDescent="0.25">
      <c r="A44" s="57" t="s">
        <v>255</v>
      </c>
      <c r="B44" s="11" t="s">
        <v>256</v>
      </c>
      <c r="C44" s="12" t="s">
        <v>257</v>
      </c>
      <c r="D44" s="12" t="s">
        <v>235</v>
      </c>
      <c r="E44" s="10" t="s">
        <v>24</v>
      </c>
      <c r="F44" s="10" t="s">
        <v>258</v>
      </c>
      <c r="G44" s="12" t="s">
        <v>235</v>
      </c>
      <c r="H44" s="12" t="s">
        <v>259</v>
      </c>
      <c r="I44" s="12" t="s">
        <v>133</v>
      </c>
      <c r="J44" s="12" t="s">
        <v>47</v>
      </c>
      <c r="K44" s="10" t="s">
        <v>29</v>
      </c>
      <c r="L44" s="10" t="s">
        <v>238</v>
      </c>
      <c r="M44" s="12" t="s">
        <v>239</v>
      </c>
      <c r="N44" s="13">
        <v>183</v>
      </c>
      <c r="O44" s="13">
        <v>183</v>
      </c>
      <c r="P44" s="13">
        <v>22</v>
      </c>
      <c r="Q44" s="13">
        <v>83000</v>
      </c>
      <c r="R44" s="13">
        <v>64000</v>
      </c>
      <c r="S44" s="60">
        <v>8000</v>
      </c>
    </row>
    <row r="45" spans="1:19" x14ac:dyDescent="0.25">
      <c r="A45" s="55" t="s">
        <v>260</v>
      </c>
      <c r="B45" s="3" t="s">
        <v>261</v>
      </c>
      <c r="C45" s="4" t="s">
        <v>262</v>
      </c>
      <c r="D45" s="4" t="s">
        <v>263</v>
      </c>
      <c r="E45" s="2" t="s">
        <v>24</v>
      </c>
      <c r="F45" s="2" t="s">
        <v>264</v>
      </c>
      <c r="G45" s="4" t="s">
        <v>265</v>
      </c>
      <c r="H45" s="4" t="s">
        <v>266</v>
      </c>
      <c r="I45" s="4" t="s">
        <v>27</v>
      </c>
      <c r="J45" s="4" t="s">
        <v>28</v>
      </c>
      <c r="K45" s="2" t="s">
        <v>29</v>
      </c>
      <c r="L45" s="2" t="s">
        <v>238</v>
      </c>
      <c r="M45" s="4" t="s">
        <v>239</v>
      </c>
      <c r="N45" s="5">
        <v>441</v>
      </c>
      <c r="O45" s="5">
        <v>441</v>
      </c>
      <c r="P45" s="5">
        <v>38</v>
      </c>
      <c r="Q45" s="5">
        <v>185000</v>
      </c>
      <c r="R45" s="5">
        <v>160000</v>
      </c>
      <c r="S45" s="58">
        <v>26000</v>
      </c>
    </row>
    <row r="46" spans="1:19" x14ac:dyDescent="0.25">
      <c r="A46" s="56" t="s">
        <v>267</v>
      </c>
      <c r="B46" s="7" t="s">
        <v>268</v>
      </c>
      <c r="C46" s="8" t="s">
        <v>269</v>
      </c>
      <c r="D46" s="8" t="s">
        <v>270</v>
      </c>
      <c r="E46" s="6" t="s">
        <v>24</v>
      </c>
      <c r="F46" s="6" t="s">
        <v>271</v>
      </c>
      <c r="G46" s="8" t="s">
        <v>265</v>
      </c>
      <c r="H46" s="8" t="s">
        <v>272</v>
      </c>
      <c r="I46" s="8" t="s">
        <v>27</v>
      </c>
      <c r="J46" s="8" t="s">
        <v>41</v>
      </c>
      <c r="K46" s="6" t="s">
        <v>29</v>
      </c>
      <c r="L46" s="6" t="s">
        <v>238</v>
      </c>
      <c r="M46" s="8" t="s">
        <v>239</v>
      </c>
      <c r="N46" s="9">
        <v>244</v>
      </c>
      <c r="O46" s="9">
        <v>244</v>
      </c>
      <c r="P46" s="9">
        <v>50</v>
      </c>
      <c r="Q46" s="9">
        <v>107000</v>
      </c>
      <c r="R46" s="9">
        <v>93000</v>
      </c>
      <c r="S46" s="59">
        <v>15000</v>
      </c>
    </row>
    <row r="47" spans="1:19" x14ac:dyDescent="0.25">
      <c r="A47" s="55" t="s">
        <v>273</v>
      </c>
      <c r="B47" s="3" t="s">
        <v>274</v>
      </c>
      <c r="C47" s="4" t="s">
        <v>275</v>
      </c>
      <c r="D47" s="4" t="s">
        <v>276</v>
      </c>
      <c r="E47" s="2" t="s">
        <v>24</v>
      </c>
      <c r="F47" s="2" t="s">
        <v>277</v>
      </c>
      <c r="G47" s="4" t="s">
        <v>265</v>
      </c>
      <c r="H47" s="4" t="s">
        <v>278</v>
      </c>
      <c r="I47" s="4" t="s">
        <v>27</v>
      </c>
      <c r="J47" s="4" t="s">
        <v>28</v>
      </c>
      <c r="K47" s="2" t="s">
        <v>29</v>
      </c>
      <c r="L47" s="2" t="s">
        <v>238</v>
      </c>
      <c r="M47" s="4" t="s">
        <v>239</v>
      </c>
      <c r="N47" s="5">
        <v>184</v>
      </c>
      <c r="O47" s="5">
        <v>184</v>
      </c>
      <c r="P47" s="5">
        <v>20</v>
      </c>
      <c r="Q47" s="5">
        <v>73000</v>
      </c>
      <c r="R47" s="5">
        <v>63000</v>
      </c>
      <c r="S47" s="58">
        <v>11000</v>
      </c>
    </row>
    <row r="48" spans="1:19" x14ac:dyDescent="0.25">
      <c r="A48" s="56" t="s">
        <v>279</v>
      </c>
      <c r="B48" s="7" t="s">
        <v>280</v>
      </c>
      <c r="C48" s="8" t="s">
        <v>281</v>
      </c>
      <c r="D48" s="8" t="s">
        <v>282</v>
      </c>
      <c r="E48" s="6" t="s">
        <v>24</v>
      </c>
      <c r="F48" s="6" t="s">
        <v>283</v>
      </c>
      <c r="G48" s="8" t="s">
        <v>284</v>
      </c>
      <c r="H48" s="8" t="s">
        <v>285</v>
      </c>
      <c r="I48" s="8" t="s">
        <v>27</v>
      </c>
      <c r="J48" s="8" t="s">
        <v>28</v>
      </c>
      <c r="K48" s="6" t="s">
        <v>29</v>
      </c>
      <c r="L48" s="6" t="s">
        <v>238</v>
      </c>
      <c r="M48" s="8" t="s">
        <v>239</v>
      </c>
      <c r="N48" s="9">
        <v>554</v>
      </c>
      <c r="O48" s="9">
        <v>554</v>
      </c>
      <c r="P48" s="9">
        <v>46</v>
      </c>
      <c r="Q48" s="9">
        <v>232000</v>
      </c>
      <c r="R48" s="9">
        <v>201000</v>
      </c>
      <c r="S48" s="59">
        <v>34000</v>
      </c>
    </row>
    <row r="49" spans="1:19" x14ac:dyDescent="0.25">
      <c r="A49" s="55" t="s">
        <v>286</v>
      </c>
      <c r="B49" s="3" t="s">
        <v>287</v>
      </c>
      <c r="C49" s="4" t="s">
        <v>288</v>
      </c>
      <c r="D49" s="4" t="s">
        <v>270</v>
      </c>
      <c r="E49" s="2" t="s">
        <v>24</v>
      </c>
      <c r="F49" s="2" t="s">
        <v>289</v>
      </c>
      <c r="G49" s="4" t="s">
        <v>265</v>
      </c>
      <c r="H49" s="4" t="s">
        <v>290</v>
      </c>
      <c r="I49" s="4" t="s">
        <v>27</v>
      </c>
      <c r="J49" s="4" t="s">
        <v>28</v>
      </c>
      <c r="K49" s="2" t="s">
        <v>29</v>
      </c>
      <c r="L49" s="2" t="s">
        <v>238</v>
      </c>
      <c r="M49" s="4" t="s">
        <v>239</v>
      </c>
      <c r="N49" s="5">
        <v>452</v>
      </c>
      <c r="O49" s="5">
        <v>452</v>
      </c>
      <c r="P49" s="5">
        <v>38</v>
      </c>
      <c r="Q49" s="5">
        <v>196000</v>
      </c>
      <c r="R49" s="5">
        <v>170000</v>
      </c>
      <c r="S49" s="58">
        <v>29000</v>
      </c>
    </row>
    <row r="50" spans="1:19" x14ac:dyDescent="0.25">
      <c r="A50" s="56" t="s">
        <v>291</v>
      </c>
      <c r="B50" s="7" t="s">
        <v>292</v>
      </c>
      <c r="C50" s="8" t="s">
        <v>293</v>
      </c>
      <c r="D50" s="8" t="s">
        <v>294</v>
      </c>
      <c r="E50" s="6" t="s">
        <v>24</v>
      </c>
      <c r="F50" s="6" t="s">
        <v>295</v>
      </c>
      <c r="G50" s="8" t="s">
        <v>296</v>
      </c>
      <c r="H50" s="8" t="s">
        <v>297</v>
      </c>
      <c r="I50" s="8" t="s">
        <v>27</v>
      </c>
      <c r="J50" s="8" t="s">
        <v>128</v>
      </c>
      <c r="K50" s="6" t="s">
        <v>29</v>
      </c>
      <c r="L50" s="6" t="s">
        <v>238</v>
      </c>
      <c r="M50" s="8" t="s">
        <v>239</v>
      </c>
      <c r="N50" s="9">
        <v>235</v>
      </c>
      <c r="O50" s="9">
        <v>235</v>
      </c>
      <c r="P50" s="9">
        <v>22</v>
      </c>
      <c r="Q50" s="9">
        <v>91000</v>
      </c>
      <c r="R50" s="9">
        <v>79000</v>
      </c>
      <c r="S50" s="59">
        <v>14000</v>
      </c>
    </row>
    <row r="51" spans="1:19" x14ac:dyDescent="0.25">
      <c r="A51" s="57" t="s">
        <v>298</v>
      </c>
      <c r="B51" s="11" t="s">
        <v>299</v>
      </c>
      <c r="C51" s="12" t="s">
        <v>257</v>
      </c>
      <c r="D51" s="12" t="s">
        <v>270</v>
      </c>
      <c r="E51" s="10" t="s">
        <v>24</v>
      </c>
      <c r="F51" s="10" t="s">
        <v>300</v>
      </c>
      <c r="G51" s="12" t="s">
        <v>265</v>
      </c>
      <c r="H51" s="12" t="s">
        <v>301</v>
      </c>
      <c r="I51" s="12" t="s">
        <v>133</v>
      </c>
      <c r="J51" s="12" t="s">
        <v>47</v>
      </c>
      <c r="K51" s="10" t="s">
        <v>29</v>
      </c>
      <c r="L51" s="10" t="s">
        <v>238</v>
      </c>
      <c r="M51" s="12" t="s">
        <v>239</v>
      </c>
      <c r="N51" s="13">
        <v>244</v>
      </c>
      <c r="O51" s="13">
        <v>244</v>
      </c>
      <c r="P51" s="13">
        <v>28</v>
      </c>
      <c r="Q51" s="13">
        <v>108000</v>
      </c>
      <c r="R51" s="13">
        <v>84000</v>
      </c>
      <c r="S51" s="60">
        <v>11000</v>
      </c>
    </row>
    <row r="52" spans="1:19" x14ac:dyDescent="0.25">
      <c r="A52" s="56" t="s">
        <v>302</v>
      </c>
      <c r="B52" s="7" t="s">
        <v>303</v>
      </c>
      <c r="C52" s="8" t="s">
        <v>304</v>
      </c>
      <c r="D52" s="8" t="s">
        <v>305</v>
      </c>
      <c r="E52" s="6" t="s">
        <v>24</v>
      </c>
      <c r="F52" s="6" t="s">
        <v>306</v>
      </c>
      <c r="G52" s="8" t="s">
        <v>307</v>
      </c>
      <c r="H52" s="8" t="s">
        <v>308</v>
      </c>
      <c r="I52" s="8" t="s">
        <v>27</v>
      </c>
      <c r="J52" s="8" t="s">
        <v>28</v>
      </c>
      <c r="K52" s="6" t="s">
        <v>29</v>
      </c>
      <c r="L52" s="6" t="s">
        <v>309</v>
      </c>
      <c r="M52" s="8" t="s">
        <v>310</v>
      </c>
      <c r="N52" s="9">
        <v>613</v>
      </c>
      <c r="O52" s="9">
        <v>613</v>
      </c>
      <c r="P52" s="9">
        <v>52</v>
      </c>
      <c r="Q52" s="9">
        <v>289000</v>
      </c>
      <c r="R52" s="9">
        <v>251000</v>
      </c>
      <c r="S52" s="59">
        <v>42000</v>
      </c>
    </row>
    <row r="53" spans="1:19" x14ac:dyDescent="0.25">
      <c r="A53" s="55" t="s">
        <v>311</v>
      </c>
      <c r="B53" s="3" t="s">
        <v>312</v>
      </c>
      <c r="C53" s="4" t="s">
        <v>313</v>
      </c>
      <c r="D53" s="4" t="s">
        <v>314</v>
      </c>
      <c r="E53" s="2" t="s">
        <v>24</v>
      </c>
      <c r="F53" s="2" t="s">
        <v>315</v>
      </c>
      <c r="G53" s="4" t="s">
        <v>307</v>
      </c>
      <c r="H53" s="4" t="s">
        <v>316</v>
      </c>
      <c r="I53" s="4" t="s">
        <v>27</v>
      </c>
      <c r="J53" s="4" t="s">
        <v>41</v>
      </c>
      <c r="K53" s="2" t="s">
        <v>29</v>
      </c>
      <c r="L53" s="2" t="s">
        <v>309</v>
      </c>
      <c r="M53" s="4" t="s">
        <v>310</v>
      </c>
      <c r="N53" s="5">
        <v>574</v>
      </c>
      <c r="O53" s="5">
        <v>574</v>
      </c>
      <c r="P53" s="5">
        <v>80</v>
      </c>
      <c r="Q53" s="5">
        <v>252000</v>
      </c>
      <c r="R53" s="5">
        <v>219000</v>
      </c>
      <c r="S53" s="58">
        <v>36000</v>
      </c>
    </row>
    <row r="54" spans="1:19" x14ac:dyDescent="0.25">
      <c r="A54" s="56" t="s">
        <v>317</v>
      </c>
      <c r="B54" s="7" t="s">
        <v>318</v>
      </c>
      <c r="C54" s="8" t="s">
        <v>319</v>
      </c>
      <c r="D54" s="8" t="s">
        <v>314</v>
      </c>
      <c r="E54" s="6" t="s">
        <v>24</v>
      </c>
      <c r="F54" s="6" t="s">
        <v>320</v>
      </c>
      <c r="G54" s="8" t="s">
        <v>307</v>
      </c>
      <c r="H54" s="8" t="s">
        <v>321</v>
      </c>
      <c r="I54" s="8" t="s">
        <v>27</v>
      </c>
      <c r="J54" s="8" t="s">
        <v>28</v>
      </c>
      <c r="K54" s="6" t="s">
        <v>29</v>
      </c>
      <c r="L54" s="6" t="s">
        <v>309</v>
      </c>
      <c r="M54" s="8" t="s">
        <v>310</v>
      </c>
      <c r="N54" s="9">
        <v>229</v>
      </c>
      <c r="O54" s="9">
        <v>229</v>
      </c>
      <c r="P54" s="9">
        <v>24</v>
      </c>
      <c r="Q54" s="9">
        <v>96000</v>
      </c>
      <c r="R54" s="9">
        <v>83000</v>
      </c>
      <c r="S54" s="59">
        <v>14000</v>
      </c>
    </row>
    <row r="55" spans="1:19" x14ac:dyDescent="0.25">
      <c r="A55" s="55" t="s">
        <v>322</v>
      </c>
      <c r="B55" s="3" t="s">
        <v>323</v>
      </c>
      <c r="C55" s="4" t="s">
        <v>324</v>
      </c>
      <c r="D55" s="4" t="s">
        <v>314</v>
      </c>
      <c r="E55" s="2" t="s">
        <v>24</v>
      </c>
      <c r="F55" s="2" t="s">
        <v>325</v>
      </c>
      <c r="G55" s="4" t="s">
        <v>307</v>
      </c>
      <c r="H55" s="4" t="s">
        <v>326</v>
      </c>
      <c r="I55" s="4" t="s">
        <v>27</v>
      </c>
      <c r="J55" s="4" t="s">
        <v>28</v>
      </c>
      <c r="K55" s="2" t="s">
        <v>29</v>
      </c>
      <c r="L55" s="2" t="s">
        <v>309</v>
      </c>
      <c r="M55" s="4" t="s">
        <v>310</v>
      </c>
      <c r="N55" s="5">
        <v>349</v>
      </c>
      <c r="O55" s="5">
        <v>349</v>
      </c>
      <c r="P55" s="5">
        <v>30</v>
      </c>
      <c r="Q55" s="5">
        <v>139000</v>
      </c>
      <c r="R55" s="5">
        <v>121000</v>
      </c>
      <c r="S55" s="58">
        <v>20000</v>
      </c>
    </row>
    <row r="56" spans="1:19" x14ac:dyDescent="0.25">
      <c r="A56" s="57" t="s">
        <v>327</v>
      </c>
      <c r="B56" s="11" t="s">
        <v>328</v>
      </c>
      <c r="C56" s="12" t="s">
        <v>329</v>
      </c>
      <c r="D56" s="12" t="s">
        <v>330</v>
      </c>
      <c r="E56" s="10" t="s">
        <v>24</v>
      </c>
      <c r="F56" s="10" t="s">
        <v>331</v>
      </c>
      <c r="G56" s="12" t="s">
        <v>307</v>
      </c>
      <c r="H56" s="12" t="s">
        <v>332</v>
      </c>
      <c r="I56" s="12" t="s">
        <v>133</v>
      </c>
      <c r="J56" s="12" t="s">
        <v>28</v>
      </c>
      <c r="K56" s="10" t="s">
        <v>29</v>
      </c>
      <c r="L56" s="10" t="s">
        <v>309</v>
      </c>
      <c r="M56" s="12" t="s">
        <v>310</v>
      </c>
      <c r="N56" s="13">
        <v>361</v>
      </c>
      <c r="O56" s="13">
        <v>361</v>
      </c>
      <c r="P56" s="13">
        <v>36</v>
      </c>
      <c r="Q56" s="13">
        <v>161000</v>
      </c>
      <c r="R56" s="13">
        <v>125000</v>
      </c>
      <c r="S56" s="60">
        <v>16000</v>
      </c>
    </row>
    <row r="57" spans="1:19" x14ac:dyDescent="0.25">
      <c r="A57" s="55" t="s">
        <v>333</v>
      </c>
      <c r="B57" s="3" t="s">
        <v>334</v>
      </c>
      <c r="C57" s="4" t="s">
        <v>335</v>
      </c>
      <c r="D57" s="4" t="s">
        <v>314</v>
      </c>
      <c r="E57" s="2" t="s">
        <v>24</v>
      </c>
      <c r="F57" s="2" t="s">
        <v>315</v>
      </c>
      <c r="G57" s="4" t="s">
        <v>307</v>
      </c>
      <c r="H57" s="4" t="s">
        <v>336</v>
      </c>
      <c r="I57" s="4" t="s">
        <v>27</v>
      </c>
      <c r="J57" s="4" t="s">
        <v>54</v>
      </c>
      <c r="K57" s="2" t="s">
        <v>29</v>
      </c>
      <c r="L57" s="2" t="s">
        <v>309</v>
      </c>
      <c r="M57" s="4" t="s">
        <v>310</v>
      </c>
      <c r="N57" s="5">
        <v>358</v>
      </c>
      <c r="O57" s="5">
        <v>358</v>
      </c>
      <c r="P57" s="5">
        <v>32</v>
      </c>
      <c r="Q57" s="5">
        <v>141000</v>
      </c>
      <c r="R57" s="5">
        <v>122000</v>
      </c>
      <c r="S57" s="58">
        <v>20000</v>
      </c>
    </row>
    <row r="58" spans="1:19" x14ac:dyDescent="0.25">
      <c r="A58" s="56" t="s">
        <v>337</v>
      </c>
      <c r="B58" s="7" t="s">
        <v>338</v>
      </c>
      <c r="C58" s="8" t="s">
        <v>339</v>
      </c>
      <c r="D58" s="8" t="s">
        <v>340</v>
      </c>
      <c r="E58" s="6" t="s">
        <v>24</v>
      </c>
      <c r="F58" s="6" t="s">
        <v>341</v>
      </c>
      <c r="G58" s="8" t="s">
        <v>340</v>
      </c>
      <c r="H58" s="8" t="s">
        <v>342</v>
      </c>
      <c r="I58" s="8" t="s">
        <v>27</v>
      </c>
      <c r="J58" s="8" t="s">
        <v>47</v>
      </c>
      <c r="K58" s="6" t="s">
        <v>29</v>
      </c>
      <c r="L58" s="6" t="s">
        <v>343</v>
      </c>
      <c r="M58" s="8" t="s">
        <v>344</v>
      </c>
      <c r="N58" s="9">
        <v>627</v>
      </c>
      <c r="O58" s="9">
        <v>627</v>
      </c>
      <c r="P58" s="9">
        <v>74</v>
      </c>
      <c r="Q58" s="9">
        <v>287000</v>
      </c>
      <c r="R58" s="9">
        <v>249000</v>
      </c>
      <c r="S58" s="59">
        <v>40000</v>
      </c>
    </row>
    <row r="59" spans="1:19" x14ac:dyDescent="0.25">
      <c r="A59" s="55" t="s">
        <v>345</v>
      </c>
      <c r="B59" s="3" t="s">
        <v>346</v>
      </c>
      <c r="C59" s="4" t="s">
        <v>347</v>
      </c>
      <c r="D59" s="4" t="s">
        <v>340</v>
      </c>
      <c r="E59" s="2" t="s">
        <v>24</v>
      </c>
      <c r="F59" s="2" t="s">
        <v>348</v>
      </c>
      <c r="G59" s="4" t="s">
        <v>340</v>
      </c>
      <c r="H59" s="4" t="s">
        <v>349</v>
      </c>
      <c r="I59" s="4" t="s">
        <v>27</v>
      </c>
      <c r="J59" s="4" t="s">
        <v>28</v>
      </c>
      <c r="K59" s="2" t="s">
        <v>29</v>
      </c>
      <c r="L59" s="2" t="s">
        <v>343</v>
      </c>
      <c r="M59" s="4" t="s">
        <v>344</v>
      </c>
      <c r="N59" s="5">
        <v>524</v>
      </c>
      <c r="O59" s="5">
        <v>524</v>
      </c>
      <c r="P59" s="5">
        <v>44</v>
      </c>
      <c r="Q59" s="5">
        <v>218000</v>
      </c>
      <c r="R59" s="5">
        <v>189000</v>
      </c>
      <c r="S59" s="58">
        <v>32000</v>
      </c>
    </row>
    <row r="60" spans="1:19" x14ac:dyDescent="0.25">
      <c r="A60" s="56" t="s">
        <v>350</v>
      </c>
      <c r="B60" s="7" t="s">
        <v>351</v>
      </c>
      <c r="C60" s="8" t="s">
        <v>352</v>
      </c>
      <c r="D60" s="8" t="s">
        <v>340</v>
      </c>
      <c r="E60" s="6" t="s">
        <v>24</v>
      </c>
      <c r="F60" s="6" t="s">
        <v>353</v>
      </c>
      <c r="G60" s="8" t="s">
        <v>340</v>
      </c>
      <c r="H60" s="8" t="s">
        <v>354</v>
      </c>
      <c r="I60" s="8" t="s">
        <v>27</v>
      </c>
      <c r="J60" s="8" t="s">
        <v>54</v>
      </c>
      <c r="K60" s="6" t="s">
        <v>29</v>
      </c>
      <c r="L60" s="6" t="s">
        <v>343</v>
      </c>
      <c r="M60" s="8" t="s">
        <v>344</v>
      </c>
      <c r="N60" s="9">
        <v>318</v>
      </c>
      <c r="O60" s="9">
        <v>318</v>
      </c>
      <c r="P60" s="9">
        <v>28</v>
      </c>
      <c r="Q60" s="9">
        <v>121000</v>
      </c>
      <c r="R60" s="9">
        <v>105000</v>
      </c>
      <c r="S60" s="59">
        <v>18000</v>
      </c>
    </row>
    <row r="61" spans="1:19" x14ac:dyDescent="0.25">
      <c r="A61" s="55" t="s">
        <v>355</v>
      </c>
      <c r="B61" s="3" t="s">
        <v>356</v>
      </c>
      <c r="C61" s="4" t="s">
        <v>357</v>
      </c>
      <c r="D61" s="4" t="s">
        <v>340</v>
      </c>
      <c r="E61" s="2" t="s">
        <v>24</v>
      </c>
      <c r="F61" s="2" t="s">
        <v>358</v>
      </c>
      <c r="G61" s="4" t="s">
        <v>340</v>
      </c>
      <c r="H61" s="4" t="s">
        <v>359</v>
      </c>
      <c r="I61" s="4" t="s">
        <v>27</v>
      </c>
      <c r="J61" s="4" t="s">
        <v>28</v>
      </c>
      <c r="K61" s="2" t="s">
        <v>29</v>
      </c>
      <c r="L61" s="2" t="s">
        <v>343</v>
      </c>
      <c r="M61" s="4" t="s">
        <v>344</v>
      </c>
      <c r="N61" s="5">
        <v>287</v>
      </c>
      <c r="O61" s="5">
        <v>287</v>
      </c>
      <c r="P61" s="5">
        <v>26</v>
      </c>
      <c r="Q61" s="5">
        <v>121000</v>
      </c>
      <c r="R61" s="5">
        <v>105000</v>
      </c>
      <c r="S61" s="58">
        <v>18000</v>
      </c>
    </row>
    <row r="62" spans="1:19" x14ac:dyDescent="0.25">
      <c r="A62" s="57" t="s">
        <v>360</v>
      </c>
      <c r="B62" s="11" t="s">
        <v>361</v>
      </c>
      <c r="C62" s="12" t="s">
        <v>339</v>
      </c>
      <c r="D62" s="12" t="s">
        <v>340</v>
      </c>
      <c r="E62" s="10" t="s">
        <v>24</v>
      </c>
      <c r="F62" s="10" t="s">
        <v>341</v>
      </c>
      <c r="G62" s="12" t="s">
        <v>340</v>
      </c>
      <c r="H62" s="12" t="s">
        <v>342</v>
      </c>
      <c r="I62" s="12" t="s">
        <v>133</v>
      </c>
      <c r="J62" s="12" t="s">
        <v>47</v>
      </c>
      <c r="K62" s="10" t="s">
        <v>29</v>
      </c>
      <c r="L62" s="10" t="s">
        <v>343</v>
      </c>
      <c r="M62" s="12" t="s">
        <v>344</v>
      </c>
      <c r="N62" s="13">
        <v>174</v>
      </c>
      <c r="O62" s="13">
        <v>174</v>
      </c>
      <c r="P62" s="13">
        <v>20</v>
      </c>
      <c r="Q62" s="13">
        <v>77000</v>
      </c>
      <c r="R62" s="13">
        <v>60000</v>
      </c>
      <c r="S62" s="60">
        <v>8000</v>
      </c>
    </row>
    <row r="63" spans="1:19" x14ac:dyDescent="0.25">
      <c r="A63" s="55" t="s">
        <v>362</v>
      </c>
      <c r="B63" s="3" t="s">
        <v>363</v>
      </c>
      <c r="C63" s="4" t="s">
        <v>364</v>
      </c>
      <c r="D63" s="4" t="s">
        <v>365</v>
      </c>
      <c r="E63" s="2" t="s">
        <v>24</v>
      </c>
      <c r="F63" s="2" t="s">
        <v>366</v>
      </c>
      <c r="G63" s="4" t="s">
        <v>365</v>
      </c>
      <c r="H63" s="4" t="s">
        <v>367</v>
      </c>
      <c r="I63" s="4" t="s">
        <v>27</v>
      </c>
      <c r="J63" s="4" t="s">
        <v>28</v>
      </c>
      <c r="K63" s="2" t="s">
        <v>29</v>
      </c>
      <c r="L63" s="2" t="s">
        <v>368</v>
      </c>
      <c r="M63" s="4" t="s">
        <v>369</v>
      </c>
      <c r="N63" s="5">
        <v>793</v>
      </c>
      <c r="O63" s="5">
        <v>793</v>
      </c>
      <c r="P63" s="5">
        <v>90</v>
      </c>
      <c r="Q63" s="5">
        <v>344000</v>
      </c>
      <c r="R63" s="5">
        <v>298000</v>
      </c>
      <c r="S63" s="58">
        <v>47000</v>
      </c>
    </row>
    <row r="64" spans="1:19" x14ac:dyDescent="0.25">
      <c r="A64" s="56" t="s">
        <v>370</v>
      </c>
      <c r="B64" s="7" t="s">
        <v>371</v>
      </c>
      <c r="C64" s="8" t="s">
        <v>372</v>
      </c>
      <c r="D64" s="8" t="s">
        <v>365</v>
      </c>
      <c r="E64" s="6" t="s">
        <v>24</v>
      </c>
      <c r="F64" s="6" t="s">
        <v>373</v>
      </c>
      <c r="G64" s="8" t="s">
        <v>365</v>
      </c>
      <c r="H64" s="8" t="s">
        <v>374</v>
      </c>
      <c r="I64" s="8" t="s">
        <v>27</v>
      </c>
      <c r="J64" s="8" t="s">
        <v>54</v>
      </c>
      <c r="K64" s="6" t="s">
        <v>29</v>
      </c>
      <c r="L64" s="6" t="s">
        <v>368</v>
      </c>
      <c r="M64" s="8" t="s">
        <v>369</v>
      </c>
      <c r="N64" s="9">
        <v>436</v>
      </c>
      <c r="O64" s="9">
        <v>436</v>
      </c>
      <c r="P64" s="9">
        <v>38</v>
      </c>
      <c r="Q64" s="9">
        <v>181000</v>
      </c>
      <c r="R64" s="9">
        <v>157000</v>
      </c>
      <c r="S64" s="59">
        <v>26000</v>
      </c>
    </row>
    <row r="65" spans="1:19" x14ac:dyDescent="0.25">
      <c r="A65" s="55" t="s">
        <v>375</v>
      </c>
      <c r="B65" s="3" t="s">
        <v>376</v>
      </c>
      <c r="C65" s="4" t="s">
        <v>377</v>
      </c>
      <c r="D65" s="4" t="s">
        <v>365</v>
      </c>
      <c r="E65" s="2" t="s">
        <v>24</v>
      </c>
      <c r="F65" s="2" t="s">
        <v>373</v>
      </c>
      <c r="G65" s="4" t="s">
        <v>365</v>
      </c>
      <c r="H65" s="4" t="s">
        <v>378</v>
      </c>
      <c r="I65" s="4" t="s">
        <v>27</v>
      </c>
      <c r="J65" s="4" t="s">
        <v>28</v>
      </c>
      <c r="K65" s="2" t="s">
        <v>29</v>
      </c>
      <c r="L65" s="2" t="s">
        <v>368</v>
      </c>
      <c r="M65" s="4" t="s">
        <v>369</v>
      </c>
      <c r="N65" s="5">
        <v>169</v>
      </c>
      <c r="O65" s="5">
        <v>169</v>
      </c>
      <c r="P65" s="5">
        <v>18</v>
      </c>
      <c r="Q65" s="5">
        <v>70000</v>
      </c>
      <c r="R65" s="5">
        <v>61000</v>
      </c>
      <c r="S65" s="58">
        <v>11000</v>
      </c>
    </row>
    <row r="66" spans="1:19" x14ac:dyDescent="0.25">
      <c r="A66" s="57" t="s">
        <v>379</v>
      </c>
      <c r="B66" s="11" t="s">
        <v>380</v>
      </c>
      <c r="C66" s="12" t="s">
        <v>381</v>
      </c>
      <c r="D66" s="12" t="s">
        <v>382</v>
      </c>
      <c r="E66" s="10" t="s">
        <v>24</v>
      </c>
      <c r="F66" s="10" t="s">
        <v>383</v>
      </c>
      <c r="G66" s="12" t="s">
        <v>382</v>
      </c>
      <c r="H66" s="12" t="s">
        <v>384</v>
      </c>
      <c r="I66" s="12" t="s">
        <v>133</v>
      </c>
      <c r="J66" s="12" t="s">
        <v>28</v>
      </c>
      <c r="K66" s="10" t="s">
        <v>29</v>
      </c>
      <c r="L66" s="10" t="s">
        <v>385</v>
      </c>
      <c r="M66" s="12" t="s">
        <v>386</v>
      </c>
      <c r="N66" s="13">
        <v>358</v>
      </c>
      <c r="O66" s="13">
        <v>358</v>
      </c>
      <c r="P66" s="13">
        <v>38</v>
      </c>
      <c r="Q66" s="13">
        <v>160000</v>
      </c>
      <c r="R66" s="13">
        <v>124000</v>
      </c>
      <c r="S66" s="60">
        <v>16000</v>
      </c>
    </row>
    <row r="67" spans="1:19" x14ac:dyDescent="0.25">
      <c r="A67" s="55" t="s">
        <v>387</v>
      </c>
      <c r="B67" s="3" t="s">
        <v>388</v>
      </c>
      <c r="C67" s="4" t="s">
        <v>389</v>
      </c>
      <c r="D67" s="4" t="s">
        <v>390</v>
      </c>
      <c r="E67" s="2" t="s">
        <v>24</v>
      </c>
      <c r="F67" s="2" t="s">
        <v>391</v>
      </c>
      <c r="G67" s="4" t="s">
        <v>392</v>
      </c>
      <c r="H67" s="4" t="s">
        <v>393</v>
      </c>
      <c r="I67" s="4" t="s">
        <v>27</v>
      </c>
      <c r="J67" s="4" t="s">
        <v>54</v>
      </c>
      <c r="K67" s="2" t="s">
        <v>29</v>
      </c>
      <c r="L67" s="2" t="s">
        <v>394</v>
      </c>
      <c r="M67" s="4" t="s">
        <v>395</v>
      </c>
      <c r="N67" s="5">
        <v>1046</v>
      </c>
      <c r="O67" s="5">
        <v>1046</v>
      </c>
      <c r="P67" s="5">
        <v>82</v>
      </c>
      <c r="Q67" s="5">
        <v>432000</v>
      </c>
      <c r="R67" s="5">
        <v>374000</v>
      </c>
      <c r="S67" s="58">
        <v>59000</v>
      </c>
    </row>
    <row r="68" spans="1:19" x14ac:dyDescent="0.25">
      <c r="A68" s="56" t="s">
        <v>396</v>
      </c>
      <c r="B68" s="7" t="s">
        <v>397</v>
      </c>
      <c r="C68" s="8" t="s">
        <v>398</v>
      </c>
      <c r="D68" s="8" t="s">
        <v>399</v>
      </c>
      <c r="E68" s="6" t="s">
        <v>24</v>
      </c>
      <c r="F68" s="6" t="s">
        <v>400</v>
      </c>
      <c r="G68" s="8" t="s">
        <v>401</v>
      </c>
      <c r="H68" s="8" t="s">
        <v>402</v>
      </c>
      <c r="I68" s="8" t="s">
        <v>27</v>
      </c>
      <c r="J68" s="8" t="s">
        <v>403</v>
      </c>
      <c r="K68" s="6" t="s">
        <v>29</v>
      </c>
      <c r="L68" s="6" t="s">
        <v>394</v>
      </c>
      <c r="M68" s="8" t="s">
        <v>395</v>
      </c>
      <c r="N68" s="9">
        <v>385</v>
      </c>
      <c r="O68" s="9">
        <v>385</v>
      </c>
      <c r="P68" s="9">
        <v>34</v>
      </c>
      <c r="Q68" s="9">
        <v>151000</v>
      </c>
      <c r="R68" s="9">
        <v>131000</v>
      </c>
      <c r="S68" s="59">
        <v>22000</v>
      </c>
    </row>
    <row r="69" spans="1:19" x14ac:dyDescent="0.25">
      <c r="A69" s="55" t="s">
        <v>404</v>
      </c>
      <c r="B69" s="3" t="s">
        <v>405</v>
      </c>
      <c r="C69" s="4" t="s">
        <v>406</v>
      </c>
      <c r="D69" s="4" t="s">
        <v>407</v>
      </c>
      <c r="E69" s="2" t="s">
        <v>24</v>
      </c>
      <c r="F69" s="2" t="s">
        <v>408</v>
      </c>
      <c r="G69" s="4" t="s">
        <v>392</v>
      </c>
      <c r="H69" s="4" t="s">
        <v>409</v>
      </c>
      <c r="I69" s="4" t="s">
        <v>27</v>
      </c>
      <c r="J69" s="4" t="s">
        <v>41</v>
      </c>
      <c r="K69" s="2" t="s">
        <v>29</v>
      </c>
      <c r="L69" s="2" t="s">
        <v>394</v>
      </c>
      <c r="M69" s="4" t="s">
        <v>395</v>
      </c>
      <c r="N69" s="5">
        <v>456</v>
      </c>
      <c r="O69" s="5">
        <v>385</v>
      </c>
      <c r="P69" s="5">
        <v>60</v>
      </c>
      <c r="Q69" s="5">
        <v>193000</v>
      </c>
      <c r="R69" s="5">
        <v>167000</v>
      </c>
      <c r="S69" s="58">
        <v>26000</v>
      </c>
    </row>
    <row r="70" spans="1:19" x14ac:dyDescent="0.25">
      <c r="A70" s="56" t="s">
        <v>410</v>
      </c>
      <c r="B70" s="7" t="s">
        <v>411</v>
      </c>
      <c r="C70" s="8" t="s">
        <v>412</v>
      </c>
      <c r="D70" s="8" t="s">
        <v>413</v>
      </c>
      <c r="E70" s="6" t="s">
        <v>24</v>
      </c>
      <c r="F70" s="6" t="s">
        <v>414</v>
      </c>
      <c r="G70" s="8" t="s">
        <v>401</v>
      </c>
      <c r="H70" s="8" t="s">
        <v>415</v>
      </c>
      <c r="I70" s="8" t="s">
        <v>27</v>
      </c>
      <c r="J70" s="8" t="s">
        <v>41</v>
      </c>
      <c r="K70" s="6" t="s">
        <v>29</v>
      </c>
      <c r="L70" s="6" t="s">
        <v>394</v>
      </c>
      <c r="M70" s="8" t="s">
        <v>395</v>
      </c>
      <c r="N70" s="9">
        <v>439</v>
      </c>
      <c r="O70" s="9">
        <v>379</v>
      </c>
      <c r="P70" s="9">
        <v>56</v>
      </c>
      <c r="Q70" s="9">
        <v>188000</v>
      </c>
      <c r="R70" s="9">
        <v>163000</v>
      </c>
      <c r="S70" s="59">
        <v>25000</v>
      </c>
    </row>
    <row r="71" spans="1:19" x14ac:dyDescent="0.25">
      <c r="A71" s="55" t="s">
        <v>416</v>
      </c>
      <c r="B71" s="3" t="s">
        <v>417</v>
      </c>
      <c r="C71" s="4" t="s">
        <v>418</v>
      </c>
      <c r="D71" s="4" t="s">
        <v>401</v>
      </c>
      <c r="E71" s="2" t="s">
        <v>24</v>
      </c>
      <c r="F71" s="2" t="s">
        <v>419</v>
      </c>
      <c r="G71" s="4" t="s">
        <v>401</v>
      </c>
      <c r="H71" s="4" t="s">
        <v>420</v>
      </c>
      <c r="I71" s="4" t="s">
        <v>27</v>
      </c>
      <c r="J71" s="4" t="s">
        <v>28</v>
      </c>
      <c r="K71" s="2" t="s">
        <v>29</v>
      </c>
      <c r="L71" s="2" t="s">
        <v>394</v>
      </c>
      <c r="M71" s="4" t="s">
        <v>395</v>
      </c>
      <c r="N71" s="5">
        <v>295</v>
      </c>
      <c r="O71" s="5">
        <v>295</v>
      </c>
      <c r="P71" s="5">
        <v>26</v>
      </c>
      <c r="Q71" s="5">
        <v>123000</v>
      </c>
      <c r="R71" s="5">
        <v>107000</v>
      </c>
      <c r="S71" s="58">
        <v>18000</v>
      </c>
    </row>
    <row r="72" spans="1:19" x14ac:dyDescent="0.25">
      <c r="A72" s="56" t="s">
        <v>421</v>
      </c>
      <c r="B72" s="7" t="s">
        <v>422</v>
      </c>
      <c r="C72" s="8" t="s">
        <v>423</v>
      </c>
      <c r="D72" s="8" t="s">
        <v>424</v>
      </c>
      <c r="E72" s="6" t="s">
        <v>24</v>
      </c>
      <c r="F72" s="6" t="s">
        <v>425</v>
      </c>
      <c r="G72" s="8" t="s">
        <v>401</v>
      </c>
      <c r="H72" s="8" t="s">
        <v>426</v>
      </c>
      <c r="I72" s="8" t="s">
        <v>27</v>
      </c>
      <c r="J72" s="8" t="s">
        <v>28</v>
      </c>
      <c r="K72" s="6" t="s">
        <v>29</v>
      </c>
      <c r="L72" s="6" t="s">
        <v>394</v>
      </c>
      <c r="M72" s="8" t="s">
        <v>395</v>
      </c>
      <c r="N72" s="9">
        <v>507</v>
      </c>
      <c r="O72" s="9">
        <v>507</v>
      </c>
      <c r="P72" s="9">
        <v>40</v>
      </c>
      <c r="Q72" s="9">
        <v>201000</v>
      </c>
      <c r="R72" s="9">
        <v>174000</v>
      </c>
      <c r="S72" s="59">
        <v>28000</v>
      </c>
    </row>
    <row r="73" spans="1:19" x14ac:dyDescent="0.25">
      <c r="A73" s="57" t="s">
        <v>427</v>
      </c>
      <c r="B73" s="11" t="s">
        <v>428</v>
      </c>
      <c r="C73" s="12" t="s">
        <v>389</v>
      </c>
      <c r="D73" s="12" t="s">
        <v>390</v>
      </c>
      <c r="E73" s="10" t="s">
        <v>24</v>
      </c>
      <c r="F73" s="10" t="s">
        <v>391</v>
      </c>
      <c r="G73" s="12" t="s">
        <v>392</v>
      </c>
      <c r="H73" s="12" t="s">
        <v>393</v>
      </c>
      <c r="I73" s="12" t="s">
        <v>133</v>
      </c>
      <c r="J73" s="12" t="s">
        <v>54</v>
      </c>
      <c r="K73" s="10" t="s">
        <v>29</v>
      </c>
      <c r="L73" s="10" t="s">
        <v>394</v>
      </c>
      <c r="M73" s="12" t="s">
        <v>395</v>
      </c>
      <c r="N73" s="13">
        <v>337</v>
      </c>
      <c r="O73" s="13">
        <v>337</v>
      </c>
      <c r="P73" s="13">
        <v>32</v>
      </c>
      <c r="Q73" s="13">
        <v>150000</v>
      </c>
      <c r="R73" s="13">
        <v>116000</v>
      </c>
      <c r="S73" s="60">
        <v>15000</v>
      </c>
    </row>
    <row r="74" spans="1:19" x14ac:dyDescent="0.25">
      <c r="A74" s="56" t="s">
        <v>429</v>
      </c>
      <c r="B74" s="7" t="s">
        <v>430</v>
      </c>
      <c r="C74" s="8" t="s">
        <v>431</v>
      </c>
      <c r="D74" s="8" t="s">
        <v>432</v>
      </c>
      <c r="E74" s="6" t="s">
        <v>24</v>
      </c>
      <c r="F74" s="6" t="s">
        <v>433</v>
      </c>
      <c r="G74" s="8" t="s">
        <v>432</v>
      </c>
      <c r="H74" s="8" t="s">
        <v>434</v>
      </c>
      <c r="I74" s="8" t="s">
        <v>27</v>
      </c>
      <c r="J74" s="8" t="s">
        <v>28</v>
      </c>
      <c r="K74" s="6" t="s">
        <v>29</v>
      </c>
      <c r="L74" s="6" t="s">
        <v>435</v>
      </c>
      <c r="M74" s="8" t="s">
        <v>436</v>
      </c>
      <c r="N74" s="9">
        <v>294</v>
      </c>
      <c r="O74" s="9">
        <v>294</v>
      </c>
      <c r="P74" s="9">
        <v>26</v>
      </c>
      <c r="Q74" s="9">
        <v>113000</v>
      </c>
      <c r="R74" s="9">
        <v>98000</v>
      </c>
      <c r="S74" s="59">
        <v>17000</v>
      </c>
    </row>
    <row r="75" spans="1:19" x14ac:dyDescent="0.25">
      <c r="A75" s="55" t="s">
        <v>437</v>
      </c>
      <c r="B75" s="3" t="s">
        <v>438</v>
      </c>
      <c r="C75" s="4" t="s">
        <v>439</v>
      </c>
      <c r="D75" s="4" t="s">
        <v>440</v>
      </c>
      <c r="E75" s="2" t="s">
        <v>24</v>
      </c>
      <c r="F75" s="2" t="s">
        <v>441</v>
      </c>
      <c r="G75" s="4" t="s">
        <v>432</v>
      </c>
      <c r="H75" s="4" t="s">
        <v>442</v>
      </c>
      <c r="I75" s="4" t="s">
        <v>27</v>
      </c>
      <c r="J75" s="4" t="s">
        <v>403</v>
      </c>
      <c r="K75" s="2" t="s">
        <v>29</v>
      </c>
      <c r="L75" s="2" t="s">
        <v>435</v>
      </c>
      <c r="M75" s="4" t="s">
        <v>436</v>
      </c>
      <c r="N75" s="5">
        <v>353</v>
      </c>
      <c r="O75" s="5">
        <v>353</v>
      </c>
      <c r="P75" s="5">
        <v>30</v>
      </c>
      <c r="Q75" s="5">
        <v>136000</v>
      </c>
      <c r="R75" s="5">
        <v>118000</v>
      </c>
      <c r="S75" s="58">
        <v>21000</v>
      </c>
    </row>
    <row r="76" spans="1:19" x14ac:dyDescent="0.25">
      <c r="A76" s="56" t="s">
        <v>443</v>
      </c>
      <c r="B76" s="7" t="s">
        <v>444</v>
      </c>
      <c r="C76" s="8" t="s">
        <v>445</v>
      </c>
      <c r="D76" s="8" t="s">
        <v>446</v>
      </c>
      <c r="E76" s="6" t="s">
        <v>24</v>
      </c>
      <c r="F76" s="6" t="s">
        <v>447</v>
      </c>
      <c r="G76" s="8" t="s">
        <v>432</v>
      </c>
      <c r="H76" s="8" t="s">
        <v>448</v>
      </c>
      <c r="I76" s="8" t="s">
        <v>27</v>
      </c>
      <c r="J76" s="8" t="s">
        <v>54</v>
      </c>
      <c r="K76" s="6" t="s">
        <v>29</v>
      </c>
      <c r="L76" s="6" t="s">
        <v>435</v>
      </c>
      <c r="M76" s="8" t="s">
        <v>436</v>
      </c>
      <c r="N76" s="9">
        <v>266</v>
      </c>
      <c r="O76" s="9">
        <v>266</v>
      </c>
      <c r="P76" s="9">
        <v>22</v>
      </c>
      <c r="Q76" s="9">
        <v>103000</v>
      </c>
      <c r="R76" s="9">
        <v>89000</v>
      </c>
      <c r="S76" s="59">
        <v>15000</v>
      </c>
    </row>
    <row r="77" spans="1:19" x14ac:dyDescent="0.25">
      <c r="A77" s="55" t="s">
        <v>449</v>
      </c>
      <c r="B77" s="3" t="s">
        <v>450</v>
      </c>
      <c r="C77" s="4" t="s">
        <v>451</v>
      </c>
      <c r="D77" s="4" t="s">
        <v>452</v>
      </c>
      <c r="E77" s="2" t="s">
        <v>24</v>
      </c>
      <c r="F77" s="2" t="s">
        <v>453</v>
      </c>
      <c r="G77" s="4" t="s">
        <v>454</v>
      </c>
      <c r="H77" s="4" t="s">
        <v>455</v>
      </c>
      <c r="I77" s="4" t="s">
        <v>27</v>
      </c>
      <c r="J77" s="4" t="s">
        <v>41</v>
      </c>
      <c r="K77" s="2" t="s">
        <v>29</v>
      </c>
      <c r="L77" s="2" t="s">
        <v>456</v>
      </c>
      <c r="M77" s="4" t="s">
        <v>457</v>
      </c>
      <c r="N77" s="5">
        <v>222</v>
      </c>
      <c r="O77" s="5">
        <v>195</v>
      </c>
      <c r="P77" s="5">
        <v>40</v>
      </c>
      <c r="Q77" s="5">
        <v>92000</v>
      </c>
      <c r="R77" s="5">
        <v>80000</v>
      </c>
      <c r="S77" s="58">
        <v>13000</v>
      </c>
    </row>
    <row r="78" spans="1:19" x14ac:dyDescent="0.25">
      <c r="A78" s="56" t="s">
        <v>458</v>
      </c>
      <c r="B78" s="7" t="s">
        <v>459</v>
      </c>
      <c r="C78" s="8" t="s">
        <v>460</v>
      </c>
      <c r="D78" s="8" t="s">
        <v>452</v>
      </c>
      <c r="E78" s="6" t="s">
        <v>24</v>
      </c>
      <c r="F78" s="6" t="s">
        <v>461</v>
      </c>
      <c r="G78" s="8" t="s">
        <v>454</v>
      </c>
      <c r="H78" s="8" t="s">
        <v>462</v>
      </c>
      <c r="I78" s="8" t="s">
        <v>27</v>
      </c>
      <c r="J78" s="8" t="s">
        <v>54</v>
      </c>
      <c r="K78" s="6" t="s">
        <v>29</v>
      </c>
      <c r="L78" s="6" t="s">
        <v>456</v>
      </c>
      <c r="M78" s="8" t="s">
        <v>457</v>
      </c>
      <c r="N78" s="9">
        <v>254</v>
      </c>
      <c r="O78" s="9">
        <v>254</v>
      </c>
      <c r="P78" s="9">
        <v>22</v>
      </c>
      <c r="Q78" s="9">
        <v>100000</v>
      </c>
      <c r="R78" s="9">
        <v>87000</v>
      </c>
      <c r="S78" s="59">
        <v>15000</v>
      </c>
    </row>
    <row r="79" spans="1:19" x14ac:dyDescent="0.25">
      <c r="A79" s="55" t="s">
        <v>463</v>
      </c>
      <c r="B79" s="3" t="s">
        <v>464</v>
      </c>
      <c r="C79" s="4" t="s">
        <v>465</v>
      </c>
      <c r="D79" s="4" t="s">
        <v>452</v>
      </c>
      <c r="E79" s="2" t="s">
        <v>24</v>
      </c>
      <c r="F79" s="2" t="s">
        <v>461</v>
      </c>
      <c r="G79" s="4" t="s">
        <v>454</v>
      </c>
      <c r="H79" s="4" t="s">
        <v>466</v>
      </c>
      <c r="I79" s="4" t="s">
        <v>27</v>
      </c>
      <c r="J79" s="4" t="s">
        <v>54</v>
      </c>
      <c r="K79" s="2" t="s">
        <v>29</v>
      </c>
      <c r="L79" s="2" t="s">
        <v>456</v>
      </c>
      <c r="M79" s="4" t="s">
        <v>457</v>
      </c>
      <c r="N79" s="5">
        <v>420</v>
      </c>
      <c r="O79" s="5">
        <v>420</v>
      </c>
      <c r="P79" s="5">
        <v>38</v>
      </c>
      <c r="Q79" s="5">
        <v>163000</v>
      </c>
      <c r="R79" s="5">
        <v>141000</v>
      </c>
      <c r="S79" s="58">
        <v>24000</v>
      </c>
    </row>
    <row r="80" spans="1:19" x14ac:dyDescent="0.25">
      <c r="A80" s="56" t="s">
        <v>467</v>
      </c>
      <c r="B80" s="7" t="s">
        <v>468</v>
      </c>
      <c r="C80" s="8" t="s">
        <v>469</v>
      </c>
      <c r="D80" s="8" t="s">
        <v>470</v>
      </c>
      <c r="E80" s="6" t="s">
        <v>24</v>
      </c>
      <c r="F80" s="6" t="s">
        <v>471</v>
      </c>
      <c r="G80" s="8" t="s">
        <v>472</v>
      </c>
      <c r="H80" s="8" t="s">
        <v>473</v>
      </c>
      <c r="I80" s="8" t="s">
        <v>27</v>
      </c>
      <c r="J80" s="8" t="s">
        <v>54</v>
      </c>
      <c r="K80" s="6" t="s">
        <v>29</v>
      </c>
      <c r="L80" s="6" t="s">
        <v>474</v>
      </c>
      <c r="M80" s="8" t="s">
        <v>475</v>
      </c>
      <c r="N80" s="9">
        <v>358</v>
      </c>
      <c r="O80" s="9">
        <v>358</v>
      </c>
      <c r="P80" s="9">
        <v>32</v>
      </c>
      <c r="Q80" s="9">
        <v>140000</v>
      </c>
      <c r="R80" s="9">
        <v>121000</v>
      </c>
      <c r="S80" s="59">
        <v>21000</v>
      </c>
    </row>
    <row r="81" spans="1:19" x14ac:dyDescent="0.25">
      <c r="A81" s="55" t="s">
        <v>476</v>
      </c>
      <c r="B81" s="3" t="s">
        <v>477</v>
      </c>
      <c r="C81" s="4" t="s">
        <v>478</v>
      </c>
      <c r="D81" s="4" t="s">
        <v>470</v>
      </c>
      <c r="E81" s="2" t="s">
        <v>24</v>
      </c>
      <c r="F81" s="2" t="s">
        <v>479</v>
      </c>
      <c r="G81" s="4" t="s">
        <v>472</v>
      </c>
      <c r="H81" s="4" t="s">
        <v>480</v>
      </c>
      <c r="I81" s="4" t="s">
        <v>27</v>
      </c>
      <c r="J81" s="4" t="s">
        <v>28</v>
      </c>
      <c r="K81" s="2" t="s">
        <v>29</v>
      </c>
      <c r="L81" s="2" t="s">
        <v>474</v>
      </c>
      <c r="M81" s="4" t="s">
        <v>475</v>
      </c>
      <c r="N81" s="5">
        <v>202</v>
      </c>
      <c r="O81" s="5">
        <v>202</v>
      </c>
      <c r="P81" s="5">
        <v>18</v>
      </c>
      <c r="Q81" s="5">
        <v>79000</v>
      </c>
      <c r="R81" s="5">
        <v>68000</v>
      </c>
      <c r="S81" s="58">
        <v>11000</v>
      </c>
    </row>
    <row r="82" spans="1:19" x14ac:dyDescent="0.25">
      <c r="A82" s="56" t="s">
        <v>481</v>
      </c>
      <c r="B82" s="7" t="s">
        <v>482</v>
      </c>
      <c r="C82" s="8" t="s">
        <v>483</v>
      </c>
      <c r="D82" s="8" t="s">
        <v>484</v>
      </c>
      <c r="E82" s="6" t="s">
        <v>24</v>
      </c>
      <c r="F82" s="6" t="s">
        <v>485</v>
      </c>
      <c r="G82" s="8" t="s">
        <v>486</v>
      </c>
      <c r="H82" s="8" t="s">
        <v>487</v>
      </c>
      <c r="I82" s="8" t="s">
        <v>27</v>
      </c>
      <c r="J82" s="8" t="s">
        <v>41</v>
      </c>
      <c r="K82" s="6" t="s">
        <v>29</v>
      </c>
      <c r="L82" s="6" t="s">
        <v>488</v>
      </c>
      <c r="M82" s="8" t="s">
        <v>489</v>
      </c>
      <c r="N82" s="9">
        <v>172</v>
      </c>
      <c r="O82" s="9">
        <v>138</v>
      </c>
      <c r="P82" s="9">
        <v>18</v>
      </c>
      <c r="Q82" s="9">
        <v>70000</v>
      </c>
      <c r="R82" s="9">
        <v>61000</v>
      </c>
      <c r="S82" s="59">
        <v>10000</v>
      </c>
    </row>
    <row r="83" spans="1:19" x14ac:dyDescent="0.25">
      <c r="A83" s="55" t="s">
        <v>490</v>
      </c>
      <c r="B83" s="3" t="s">
        <v>491</v>
      </c>
      <c r="C83" s="4" t="s">
        <v>492</v>
      </c>
      <c r="D83" s="4" t="s">
        <v>484</v>
      </c>
      <c r="E83" s="2" t="s">
        <v>24</v>
      </c>
      <c r="F83" s="2" t="s">
        <v>493</v>
      </c>
      <c r="G83" s="4" t="s">
        <v>486</v>
      </c>
      <c r="H83" s="4" t="s">
        <v>494</v>
      </c>
      <c r="I83" s="4" t="s">
        <v>27</v>
      </c>
      <c r="J83" s="4" t="s">
        <v>128</v>
      </c>
      <c r="K83" s="2" t="s">
        <v>29</v>
      </c>
      <c r="L83" s="2" t="s">
        <v>488</v>
      </c>
      <c r="M83" s="4" t="s">
        <v>489</v>
      </c>
      <c r="N83" s="5">
        <v>269</v>
      </c>
      <c r="O83" s="5">
        <v>269</v>
      </c>
      <c r="P83" s="5">
        <v>22</v>
      </c>
      <c r="Q83" s="5">
        <v>103000</v>
      </c>
      <c r="R83" s="5">
        <v>89000</v>
      </c>
      <c r="S83" s="58">
        <v>15000</v>
      </c>
    </row>
    <row r="84" spans="1:19" x14ac:dyDescent="0.25">
      <c r="A84" s="56" t="s">
        <v>495</v>
      </c>
      <c r="B84" s="7" t="s">
        <v>496</v>
      </c>
      <c r="C84" s="8" t="s">
        <v>497</v>
      </c>
      <c r="D84" s="8" t="s">
        <v>498</v>
      </c>
      <c r="E84" s="6" t="s">
        <v>24</v>
      </c>
      <c r="F84" s="6" t="s">
        <v>499</v>
      </c>
      <c r="G84" s="8" t="s">
        <v>498</v>
      </c>
      <c r="H84" s="8" t="s">
        <v>500</v>
      </c>
      <c r="I84" s="8" t="s">
        <v>27</v>
      </c>
      <c r="J84" s="8" t="s">
        <v>28</v>
      </c>
      <c r="K84" s="6" t="s">
        <v>29</v>
      </c>
      <c r="L84" s="6" t="s">
        <v>501</v>
      </c>
      <c r="M84" s="8" t="s">
        <v>502</v>
      </c>
      <c r="N84" s="9">
        <v>531</v>
      </c>
      <c r="O84" s="9">
        <v>531</v>
      </c>
      <c r="P84" s="9">
        <v>44</v>
      </c>
      <c r="Q84" s="9">
        <v>205000</v>
      </c>
      <c r="R84" s="9">
        <v>178000</v>
      </c>
      <c r="S84" s="59">
        <v>30000</v>
      </c>
    </row>
    <row r="85" spans="1:19" x14ac:dyDescent="0.25">
      <c r="A85" s="55" t="s">
        <v>503</v>
      </c>
      <c r="B85" s="3" t="s">
        <v>504</v>
      </c>
      <c r="C85" s="4" t="s">
        <v>505</v>
      </c>
      <c r="D85" s="4" t="s">
        <v>506</v>
      </c>
      <c r="E85" s="2" t="s">
        <v>24</v>
      </c>
      <c r="F85" s="2" t="s">
        <v>507</v>
      </c>
      <c r="G85" s="4" t="s">
        <v>508</v>
      </c>
      <c r="H85" s="4" t="s">
        <v>509</v>
      </c>
      <c r="I85" s="4" t="s">
        <v>27</v>
      </c>
      <c r="J85" s="4" t="s">
        <v>54</v>
      </c>
      <c r="K85" s="2" t="s">
        <v>29</v>
      </c>
      <c r="L85" s="2" t="s">
        <v>510</v>
      </c>
      <c r="M85" s="4" t="s">
        <v>511</v>
      </c>
      <c r="N85" s="5">
        <v>278</v>
      </c>
      <c r="O85" s="5">
        <v>278</v>
      </c>
      <c r="P85" s="5">
        <v>24</v>
      </c>
      <c r="Q85" s="5">
        <v>108000</v>
      </c>
      <c r="R85" s="5">
        <v>94000</v>
      </c>
      <c r="S85" s="58">
        <v>16000</v>
      </c>
    </row>
    <row r="86" spans="1:19" x14ac:dyDescent="0.25">
      <c r="A86" s="56" t="s">
        <v>512</v>
      </c>
      <c r="B86" s="7" t="s">
        <v>513</v>
      </c>
      <c r="C86" s="8" t="s">
        <v>514</v>
      </c>
      <c r="D86" s="8" t="s">
        <v>506</v>
      </c>
      <c r="E86" s="6" t="s">
        <v>24</v>
      </c>
      <c r="F86" s="6" t="s">
        <v>515</v>
      </c>
      <c r="G86" s="8" t="s">
        <v>508</v>
      </c>
      <c r="H86" s="8" t="s">
        <v>516</v>
      </c>
      <c r="I86" s="8" t="s">
        <v>27</v>
      </c>
      <c r="J86" s="8" t="s">
        <v>28</v>
      </c>
      <c r="K86" s="6" t="s">
        <v>29</v>
      </c>
      <c r="L86" s="6" t="s">
        <v>510</v>
      </c>
      <c r="M86" s="8" t="s">
        <v>511</v>
      </c>
      <c r="N86" s="9">
        <v>117</v>
      </c>
      <c r="O86" s="9">
        <v>117</v>
      </c>
      <c r="P86" s="9">
        <v>14</v>
      </c>
      <c r="Q86" s="9">
        <v>49000</v>
      </c>
      <c r="R86" s="9">
        <v>43000</v>
      </c>
      <c r="S86" s="59">
        <v>7000</v>
      </c>
    </row>
    <row r="87" spans="1:19" x14ac:dyDescent="0.25">
      <c r="A87" s="55" t="s">
        <v>517</v>
      </c>
      <c r="B87" s="3" t="s">
        <v>518</v>
      </c>
      <c r="C87" s="4" t="s">
        <v>519</v>
      </c>
      <c r="D87" s="4" t="s">
        <v>520</v>
      </c>
      <c r="E87" s="2" t="s">
        <v>24</v>
      </c>
      <c r="F87" s="2" t="s">
        <v>521</v>
      </c>
      <c r="G87" s="4" t="s">
        <v>522</v>
      </c>
      <c r="H87" s="4" t="s">
        <v>523</v>
      </c>
      <c r="I87" s="4" t="s">
        <v>27</v>
      </c>
      <c r="J87" s="4" t="s">
        <v>28</v>
      </c>
      <c r="K87" s="2" t="s">
        <v>29</v>
      </c>
      <c r="L87" s="2" t="s">
        <v>524</v>
      </c>
      <c r="M87" s="4" t="s">
        <v>525</v>
      </c>
      <c r="N87" s="5">
        <v>248</v>
      </c>
      <c r="O87" s="5">
        <v>248</v>
      </c>
      <c r="P87" s="5">
        <v>22</v>
      </c>
      <c r="Q87" s="5">
        <v>102000</v>
      </c>
      <c r="R87" s="5">
        <v>89000</v>
      </c>
      <c r="S87" s="58">
        <v>15000</v>
      </c>
    </row>
    <row r="88" spans="1:19" x14ac:dyDescent="0.25">
      <c r="A88" s="56" t="s">
        <v>526</v>
      </c>
      <c r="B88" s="7" t="s">
        <v>527</v>
      </c>
      <c r="C88" s="8" t="s">
        <v>528</v>
      </c>
      <c r="D88" s="8" t="s">
        <v>529</v>
      </c>
      <c r="E88" s="6" t="s">
        <v>24</v>
      </c>
      <c r="F88" s="6" t="s">
        <v>530</v>
      </c>
      <c r="G88" s="8" t="s">
        <v>522</v>
      </c>
      <c r="H88" s="8" t="s">
        <v>531</v>
      </c>
      <c r="I88" s="8" t="s">
        <v>27</v>
      </c>
      <c r="J88" s="8" t="s">
        <v>28</v>
      </c>
      <c r="K88" s="6" t="s">
        <v>29</v>
      </c>
      <c r="L88" s="6" t="s">
        <v>524</v>
      </c>
      <c r="M88" s="8" t="s">
        <v>525</v>
      </c>
      <c r="N88" s="9">
        <v>202</v>
      </c>
      <c r="O88" s="9">
        <v>202</v>
      </c>
      <c r="P88" s="9">
        <v>18</v>
      </c>
      <c r="Q88" s="9">
        <v>79000</v>
      </c>
      <c r="R88" s="9">
        <v>68000</v>
      </c>
      <c r="S88" s="59">
        <v>11000</v>
      </c>
    </row>
    <row r="89" spans="1:19" x14ac:dyDescent="0.25">
      <c r="A89" s="55" t="s">
        <v>532</v>
      </c>
      <c r="B89" s="3" t="s">
        <v>533</v>
      </c>
      <c r="C89" s="4" t="s">
        <v>534</v>
      </c>
      <c r="D89" s="4" t="s">
        <v>535</v>
      </c>
      <c r="E89" s="2" t="s">
        <v>24</v>
      </c>
      <c r="F89" s="2" t="s">
        <v>536</v>
      </c>
      <c r="G89" s="4" t="s">
        <v>535</v>
      </c>
      <c r="H89" s="4" t="s">
        <v>537</v>
      </c>
      <c r="I89" s="4" t="s">
        <v>27</v>
      </c>
      <c r="J89" s="4" t="s">
        <v>54</v>
      </c>
      <c r="K89" s="2" t="s">
        <v>29</v>
      </c>
      <c r="L89" s="2" t="s">
        <v>538</v>
      </c>
      <c r="M89" s="4" t="s">
        <v>539</v>
      </c>
      <c r="N89" s="5">
        <v>186</v>
      </c>
      <c r="O89" s="5">
        <v>186</v>
      </c>
      <c r="P89" s="5">
        <v>16</v>
      </c>
      <c r="Q89" s="5">
        <v>71000</v>
      </c>
      <c r="R89" s="5">
        <v>62000</v>
      </c>
      <c r="S89" s="58">
        <v>10000</v>
      </c>
    </row>
    <row r="90" spans="1:19" x14ac:dyDescent="0.25">
      <c r="A90" s="56" t="s">
        <v>540</v>
      </c>
      <c r="B90" s="7" t="s">
        <v>541</v>
      </c>
      <c r="C90" s="8" t="s">
        <v>542</v>
      </c>
      <c r="D90" s="8" t="s">
        <v>543</v>
      </c>
      <c r="E90" s="6" t="s">
        <v>24</v>
      </c>
      <c r="F90" s="6" t="s">
        <v>544</v>
      </c>
      <c r="G90" s="8" t="s">
        <v>545</v>
      </c>
      <c r="H90" s="8" t="s">
        <v>546</v>
      </c>
      <c r="I90" s="8" t="s">
        <v>27</v>
      </c>
      <c r="J90" s="8" t="s">
        <v>128</v>
      </c>
      <c r="K90" s="6" t="s">
        <v>29</v>
      </c>
      <c r="L90" s="6" t="s">
        <v>547</v>
      </c>
      <c r="M90" s="8" t="s">
        <v>548</v>
      </c>
      <c r="N90" s="9">
        <v>581</v>
      </c>
      <c r="O90" s="9">
        <v>581</v>
      </c>
      <c r="P90" s="9">
        <v>52</v>
      </c>
      <c r="Q90" s="9">
        <v>222000</v>
      </c>
      <c r="R90" s="9">
        <v>193000</v>
      </c>
      <c r="S90" s="59">
        <v>32000</v>
      </c>
    </row>
    <row r="91" spans="1:19" x14ac:dyDescent="0.25">
      <c r="A91" s="55" t="s">
        <v>549</v>
      </c>
      <c r="B91" s="3" t="s">
        <v>550</v>
      </c>
      <c r="C91" s="4" t="s">
        <v>551</v>
      </c>
      <c r="D91" s="4" t="s">
        <v>552</v>
      </c>
      <c r="E91" s="2" t="s">
        <v>24</v>
      </c>
      <c r="F91" s="2" t="s">
        <v>553</v>
      </c>
      <c r="G91" s="4" t="s">
        <v>554</v>
      </c>
      <c r="H91" s="4" t="s">
        <v>555</v>
      </c>
      <c r="I91" s="4" t="s">
        <v>27</v>
      </c>
      <c r="J91" s="4" t="s">
        <v>403</v>
      </c>
      <c r="K91" s="2" t="s">
        <v>29</v>
      </c>
      <c r="L91" s="2" t="s">
        <v>556</v>
      </c>
      <c r="M91" s="4" t="s">
        <v>557</v>
      </c>
      <c r="N91" s="5">
        <v>226</v>
      </c>
      <c r="O91" s="5">
        <v>226</v>
      </c>
      <c r="P91" s="5">
        <v>22</v>
      </c>
      <c r="Q91" s="5">
        <v>87000</v>
      </c>
      <c r="R91" s="5">
        <v>75000</v>
      </c>
      <c r="S91" s="58">
        <v>12000</v>
      </c>
    </row>
    <row r="92" spans="1:19" x14ac:dyDescent="0.25">
      <c r="A92" s="56" t="s">
        <v>558</v>
      </c>
      <c r="B92" s="7" t="s">
        <v>559</v>
      </c>
      <c r="C92" s="8" t="s">
        <v>560</v>
      </c>
      <c r="D92" s="8" t="s">
        <v>552</v>
      </c>
      <c r="E92" s="6" t="s">
        <v>24</v>
      </c>
      <c r="F92" s="6" t="s">
        <v>553</v>
      </c>
      <c r="G92" s="8" t="s">
        <v>554</v>
      </c>
      <c r="H92" s="8" t="s">
        <v>561</v>
      </c>
      <c r="I92" s="8" t="s">
        <v>27</v>
      </c>
      <c r="J92" s="8" t="s">
        <v>54</v>
      </c>
      <c r="K92" s="6" t="s">
        <v>29</v>
      </c>
      <c r="L92" s="6" t="s">
        <v>556</v>
      </c>
      <c r="M92" s="8" t="s">
        <v>557</v>
      </c>
      <c r="N92" s="9">
        <v>267</v>
      </c>
      <c r="O92" s="9">
        <v>267</v>
      </c>
      <c r="P92" s="9">
        <v>24</v>
      </c>
      <c r="Q92" s="9">
        <v>101000</v>
      </c>
      <c r="R92" s="9">
        <v>87000</v>
      </c>
      <c r="S92" s="59">
        <v>14000</v>
      </c>
    </row>
    <row r="93" spans="1:19" x14ac:dyDescent="0.25">
      <c r="A93" s="55" t="s">
        <v>562</v>
      </c>
      <c r="B93" s="3" t="s">
        <v>563</v>
      </c>
      <c r="C93" s="4" t="s">
        <v>564</v>
      </c>
      <c r="D93" s="4" t="s">
        <v>565</v>
      </c>
      <c r="E93" s="2" t="s">
        <v>24</v>
      </c>
      <c r="F93" s="2" t="s">
        <v>566</v>
      </c>
      <c r="G93" s="4" t="s">
        <v>567</v>
      </c>
      <c r="H93" s="4" t="s">
        <v>568</v>
      </c>
      <c r="I93" s="4" t="s">
        <v>27</v>
      </c>
      <c r="J93" s="4" t="s">
        <v>28</v>
      </c>
      <c r="K93" s="2" t="s">
        <v>29</v>
      </c>
      <c r="L93" s="2" t="s">
        <v>569</v>
      </c>
      <c r="M93" s="4" t="s">
        <v>570</v>
      </c>
      <c r="N93" s="5">
        <v>298</v>
      </c>
      <c r="O93" s="5">
        <v>298</v>
      </c>
      <c r="P93" s="5">
        <v>28</v>
      </c>
      <c r="Q93" s="5">
        <v>115000</v>
      </c>
      <c r="R93" s="5">
        <v>100000</v>
      </c>
      <c r="S93" s="58">
        <v>17000</v>
      </c>
    </row>
    <row r="94" spans="1:19" x14ac:dyDescent="0.25">
      <c r="A94" s="56" t="s">
        <v>571</v>
      </c>
      <c r="B94" s="7" t="s">
        <v>572</v>
      </c>
      <c r="C94" s="8" t="s">
        <v>573</v>
      </c>
      <c r="D94" s="8" t="s">
        <v>574</v>
      </c>
      <c r="E94" s="6" t="s">
        <v>24</v>
      </c>
      <c r="F94" s="6" t="s">
        <v>575</v>
      </c>
      <c r="G94" s="8" t="s">
        <v>574</v>
      </c>
      <c r="H94" s="8" t="s">
        <v>576</v>
      </c>
      <c r="I94" s="8" t="s">
        <v>27</v>
      </c>
      <c r="J94" s="8" t="s">
        <v>28</v>
      </c>
      <c r="K94" s="6" t="s">
        <v>29</v>
      </c>
      <c r="L94" s="6" t="s">
        <v>577</v>
      </c>
      <c r="M94" s="8" t="s">
        <v>578</v>
      </c>
      <c r="N94" s="9">
        <v>112</v>
      </c>
      <c r="O94" s="9">
        <v>112</v>
      </c>
      <c r="P94" s="9">
        <v>12</v>
      </c>
      <c r="Q94" s="9">
        <v>43000</v>
      </c>
      <c r="R94" s="9">
        <v>37000</v>
      </c>
      <c r="S94" s="59">
        <v>6000</v>
      </c>
    </row>
    <row r="95" spans="1:19" x14ac:dyDescent="0.25">
      <c r="A95" s="55" t="s">
        <v>579</v>
      </c>
      <c r="B95" s="3" t="s">
        <v>580</v>
      </c>
      <c r="C95" s="4" t="s">
        <v>581</v>
      </c>
      <c r="D95" s="4" t="s">
        <v>574</v>
      </c>
      <c r="E95" s="2" t="s">
        <v>24</v>
      </c>
      <c r="F95" s="2" t="s">
        <v>582</v>
      </c>
      <c r="G95" s="4" t="s">
        <v>574</v>
      </c>
      <c r="H95" s="4" t="s">
        <v>583</v>
      </c>
      <c r="I95" s="4" t="s">
        <v>27</v>
      </c>
      <c r="J95" s="4" t="s">
        <v>403</v>
      </c>
      <c r="K95" s="2" t="s">
        <v>29</v>
      </c>
      <c r="L95" s="2" t="s">
        <v>577</v>
      </c>
      <c r="M95" s="4" t="s">
        <v>578</v>
      </c>
      <c r="N95" s="5">
        <v>164</v>
      </c>
      <c r="O95" s="5">
        <v>164</v>
      </c>
      <c r="P95" s="5">
        <v>16</v>
      </c>
      <c r="Q95" s="5">
        <v>62000</v>
      </c>
      <c r="R95" s="5">
        <v>54000</v>
      </c>
      <c r="S95" s="58">
        <v>9000</v>
      </c>
    </row>
    <row r="96" spans="1:19" x14ac:dyDescent="0.25">
      <c r="A96" s="56" t="s">
        <v>584</v>
      </c>
      <c r="B96" s="7" t="s">
        <v>585</v>
      </c>
      <c r="C96" s="8" t="s">
        <v>586</v>
      </c>
      <c r="D96" s="8" t="s">
        <v>587</v>
      </c>
      <c r="E96" s="6" t="s">
        <v>24</v>
      </c>
      <c r="F96" s="6" t="s">
        <v>588</v>
      </c>
      <c r="G96" s="8" t="s">
        <v>589</v>
      </c>
      <c r="H96" s="8" t="s">
        <v>590</v>
      </c>
      <c r="I96" s="8" t="s">
        <v>27</v>
      </c>
      <c r="J96" s="8" t="s">
        <v>41</v>
      </c>
      <c r="K96" s="6" t="s">
        <v>29</v>
      </c>
      <c r="L96" s="6" t="s">
        <v>591</v>
      </c>
      <c r="M96" s="8" t="s">
        <v>592</v>
      </c>
      <c r="N96" s="9">
        <v>161</v>
      </c>
      <c r="O96" s="9">
        <v>140</v>
      </c>
      <c r="P96" s="9">
        <v>16</v>
      </c>
      <c r="Q96" s="9">
        <v>60000</v>
      </c>
      <c r="R96" s="9">
        <v>52000</v>
      </c>
      <c r="S96" s="59">
        <v>8000</v>
      </c>
    </row>
    <row r="97" spans="1:19" x14ac:dyDescent="0.25">
      <c r="A97" s="55" t="s">
        <v>593</v>
      </c>
      <c r="B97" s="3" t="s">
        <v>594</v>
      </c>
      <c r="C97" s="4" t="s">
        <v>595</v>
      </c>
      <c r="D97" s="4" t="s">
        <v>596</v>
      </c>
      <c r="E97" s="2" t="s">
        <v>24</v>
      </c>
      <c r="F97" s="2" t="s">
        <v>597</v>
      </c>
      <c r="G97" s="4" t="s">
        <v>598</v>
      </c>
      <c r="H97" s="4" t="s">
        <v>599</v>
      </c>
      <c r="I97" s="4" t="s">
        <v>27</v>
      </c>
      <c r="J97" s="4" t="s">
        <v>54</v>
      </c>
      <c r="K97" s="2" t="s">
        <v>29</v>
      </c>
      <c r="L97" s="2" t="s">
        <v>600</v>
      </c>
      <c r="M97" s="4" t="s">
        <v>601</v>
      </c>
      <c r="N97" s="5">
        <v>173</v>
      </c>
      <c r="O97" s="5">
        <v>173</v>
      </c>
      <c r="P97" s="5">
        <v>16</v>
      </c>
      <c r="Q97" s="5">
        <v>65000</v>
      </c>
      <c r="R97" s="5">
        <v>56000</v>
      </c>
      <c r="S97" s="58">
        <v>10000</v>
      </c>
    </row>
    <row r="98" spans="1:19" x14ac:dyDescent="0.25">
      <c r="A98" s="56" t="s">
        <v>602</v>
      </c>
      <c r="B98" s="7" t="s">
        <v>603</v>
      </c>
      <c r="C98" s="8" t="s">
        <v>604</v>
      </c>
      <c r="D98" s="8" t="s">
        <v>605</v>
      </c>
      <c r="E98" s="6" t="s">
        <v>24</v>
      </c>
      <c r="F98" s="6" t="s">
        <v>606</v>
      </c>
      <c r="G98" s="8" t="s">
        <v>607</v>
      </c>
      <c r="H98" s="8" t="s">
        <v>608</v>
      </c>
      <c r="I98" s="8" t="s">
        <v>27</v>
      </c>
      <c r="J98" s="8" t="s">
        <v>54</v>
      </c>
      <c r="K98" s="6" t="s">
        <v>29</v>
      </c>
      <c r="L98" s="6" t="s">
        <v>609</v>
      </c>
      <c r="M98" s="8" t="s">
        <v>610</v>
      </c>
      <c r="N98" s="9">
        <v>46</v>
      </c>
      <c r="O98" s="9">
        <v>46</v>
      </c>
      <c r="P98" s="9">
        <v>6</v>
      </c>
      <c r="Q98" s="9">
        <v>16000</v>
      </c>
      <c r="R98" s="9">
        <v>14000</v>
      </c>
      <c r="S98" s="59">
        <v>2500</v>
      </c>
    </row>
    <row r="99" spans="1:19" x14ac:dyDescent="0.25">
      <c r="A99" s="55" t="s">
        <v>611</v>
      </c>
      <c r="B99" s="3" t="s">
        <v>612</v>
      </c>
      <c r="C99" s="4" t="s">
        <v>613</v>
      </c>
      <c r="D99" s="4" t="s">
        <v>392</v>
      </c>
      <c r="E99" s="2" t="s">
        <v>24</v>
      </c>
      <c r="F99" s="2" t="s">
        <v>614</v>
      </c>
      <c r="G99" s="4" t="s">
        <v>392</v>
      </c>
      <c r="H99" s="4" t="s">
        <v>615</v>
      </c>
      <c r="I99" s="4" t="s">
        <v>27</v>
      </c>
      <c r="J99" s="4" t="s">
        <v>54</v>
      </c>
      <c r="K99" s="2" t="s">
        <v>29</v>
      </c>
      <c r="L99" s="2" t="s">
        <v>394</v>
      </c>
      <c r="M99" s="4" t="s">
        <v>395</v>
      </c>
      <c r="N99" s="5">
        <v>463</v>
      </c>
      <c r="O99" s="5">
        <v>463</v>
      </c>
      <c r="P99" s="5">
        <v>40</v>
      </c>
      <c r="Q99" s="5">
        <v>180000</v>
      </c>
      <c r="R99" s="5">
        <v>156000</v>
      </c>
      <c r="S99" s="58">
        <v>26000</v>
      </c>
    </row>
    <row r="100" spans="1:19" x14ac:dyDescent="0.25">
      <c r="A100" s="56" t="s">
        <v>616</v>
      </c>
      <c r="B100" s="7" t="s">
        <v>617</v>
      </c>
      <c r="C100" s="8" t="s">
        <v>618</v>
      </c>
      <c r="D100" s="8" t="s">
        <v>619</v>
      </c>
      <c r="E100" s="6" t="s">
        <v>24</v>
      </c>
      <c r="F100" s="6" t="s">
        <v>620</v>
      </c>
      <c r="G100" s="8" t="s">
        <v>191</v>
      </c>
      <c r="H100" s="8" t="s">
        <v>621</v>
      </c>
      <c r="I100" s="8" t="s">
        <v>27</v>
      </c>
      <c r="J100" s="8" t="s">
        <v>28</v>
      </c>
      <c r="K100" s="6" t="s">
        <v>29</v>
      </c>
      <c r="L100" s="6" t="s">
        <v>194</v>
      </c>
      <c r="M100" s="8" t="s">
        <v>195</v>
      </c>
      <c r="N100" s="9">
        <v>150</v>
      </c>
      <c r="O100" s="9">
        <v>150</v>
      </c>
      <c r="P100" s="9">
        <v>18</v>
      </c>
      <c r="Q100" s="9">
        <v>58000</v>
      </c>
      <c r="R100" s="9">
        <v>50000</v>
      </c>
      <c r="S100" s="59">
        <v>9000</v>
      </c>
    </row>
    <row r="101" spans="1:19" x14ac:dyDescent="0.25">
      <c r="A101" s="55" t="s">
        <v>622</v>
      </c>
      <c r="B101" s="3" t="s">
        <v>623</v>
      </c>
      <c r="C101" s="4" t="s">
        <v>624</v>
      </c>
      <c r="D101" s="4" t="s">
        <v>64</v>
      </c>
      <c r="E101" s="2" t="s">
        <v>24</v>
      </c>
      <c r="F101" s="2" t="s">
        <v>625</v>
      </c>
      <c r="G101" s="4" t="s">
        <v>23</v>
      </c>
      <c r="H101" s="4" t="s">
        <v>626</v>
      </c>
      <c r="I101" s="4" t="s">
        <v>27</v>
      </c>
      <c r="J101" s="4" t="s">
        <v>54</v>
      </c>
      <c r="K101" s="2" t="s">
        <v>29</v>
      </c>
      <c r="L101" s="2" t="s">
        <v>30</v>
      </c>
      <c r="M101" s="4" t="s">
        <v>31</v>
      </c>
      <c r="N101" s="5">
        <v>462</v>
      </c>
      <c r="O101" s="5">
        <v>462</v>
      </c>
      <c r="P101" s="5">
        <v>38</v>
      </c>
      <c r="Q101" s="5">
        <v>180000</v>
      </c>
      <c r="R101" s="5">
        <v>156000</v>
      </c>
      <c r="S101" s="58">
        <v>26000</v>
      </c>
    </row>
    <row r="102" spans="1:19" x14ac:dyDescent="0.25">
      <c r="A102" s="56" t="s">
        <v>627</v>
      </c>
      <c r="B102" s="7" t="s">
        <v>628</v>
      </c>
      <c r="C102" s="8" t="s">
        <v>629</v>
      </c>
      <c r="D102" s="8" t="s">
        <v>137</v>
      </c>
      <c r="E102" s="6" t="s">
        <v>24</v>
      </c>
      <c r="F102" s="6" t="s">
        <v>630</v>
      </c>
      <c r="G102" s="8" t="s">
        <v>23</v>
      </c>
      <c r="H102" s="8" t="s">
        <v>631</v>
      </c>
      <c r="I102" s="8" t="s">
        <v>27</v>
      </c>
      <c r="J102" s="8" t="s">
        <v>54</v>
      </c>
      <c r="K102" s="6" t="s">
        <v>29</v>
      </c>
      <c r="L102" s="6" t="s">
        <v>30</v>
      </c>
      <c r="M102" s="8" t="s">
        <v>31</v>
      </c>
      <c r="N102" s="9">
        <v>389</v>
      </c>
      <c r="O102" s="9">
        <v>389</v>
      </c>
      <c r="P102" s="9">
        <v>34</v>
      </c>
      <c r="Q102" s="9">
        <v>152000</v>
      </c>
      <c r="R102" s="9">
        <v>132000</v>
      </c>
      <c r="S102" s="59">
        <v>22000</v>
      </c>
    </row>
    <row r="103" spans="1:19" x14ac:dyDescent="0.25">
      <c r="A103" s="55" t="s">
        <v>632</v>
      </c>
      <c r="B103" s="3" t="s">
        <v>633</v>
      </c>
      <c r="C103" s="4" t="s">
        <v>634</v>
      </c>
      <c r="D103" s="4" t="s">
        <v>635</v>
      </c>
      <c r="E103" s="2" t="s">
        <v>24</v>
      </c>
      <c r="F103" s="2" t="s">
        <v>636</v>
      </c>
      <c r="G103" s="4" t="s">
        <v>432</v>
      </c>
      <c r="H103" s="4" t="s">
        <v>637</v>
      </c>
      <c r="I103" s="4" t="s">
        <v>27</v>
      </c>
      <c r="J103" s="4" t="s">
        <v>54</v>
      </c>
      <c r="K103" s="2" t="s">
        <v>29</v>
      </c>
      <c r="L103" s="2" t="s">
        <v>435</v>
      </c>
      <c r="M103" s="4" t="s">
        <v>436</v>
      </c>
      <c r="N103" s="5">
        <v>144</v>
      </c>
      <c r="O103" s="5">
        <v>144</v>
      </c>
      <c r="P103" s="5">
        <v>14</v>
      </c>
      <c r="Q103" s="5">
        <v>53000</v>
      </c>
      <c r="R103" s="5">
        <v>46000</v>
      </c>
      <c r="S103" s="58">
        <v>8000</v>
      </c>
    </row>
    <row r="104" spans="1:19" x14ac:dyDescent="0.25">
      <c r="A104" s="56" t="s">
        <v>638</v>
      </c>
      <c r="B104" s="7" t="s">
        <v>639</v>
      </c>
      <c r="C104" s="8" t="s">
        <v>640</v>
      </c>
      <c r="D104" s="8" t="s">
        <v>641</v>
      </c>
      <c r="E104" s="6" t="s">
        <v>24</v>
      </c>
      <c r="F104" s="6" t="s">
        <v>642</v>
      </c>
      <c r="G104" s="8" t="s">
        <v>641</v>
      </c>
      <c r="H104" s="8" t="s">
        <v>643</v>
      </c>
      <c r="I104" s="8" t="s">
        <v>27</v>
      </c>
      <c r="J104" s="8" t="s">
        <v>47</v>
      </c>
      <c r="K104" s="6" t="s">
        <v>644</v>
      </c>
      <c r="L104" s="6" t="s">
        <v>645</v>
      </c>
      <c r="M104" s="8" t="s">
        <v>646</v>
      </c>
      <c r="N104" s="9">
        <v>128</v>
      </c>
      <c r="O104" s="9">
        <v>128</v>
      </c>
      <c r="P104" s="6"/>
      <c r="Q104" s="9">
        <v>40000</v>
      </c>
      <c r="R104" s="9">
        <v>35000</v>
      </c>
      <c r="S104" s="59">
        <v>5000</v>
      </c>
    </row>
    <row r="105" spans="1:19" x14ac:dyDescent="0.25">
      <c r="A105" s="64" t="s">
        <v>647</v>
      </c>
      <c r="B105" s="65" t="s">
        <v>648</v>
      </c>
      <c r="C105" s="66" t="s">
        <v>649</v>
      </c>
      <c r="D105" s="66" t="s">
        <v>641</v>
      </c>
      <c r="E105" s="67" t="s">
        <v>24</v>
      </c>
      <c r="F105" s="67" t="s">
        <v>642</v>
      </c>
      <c r="G105" s="66" t="s">
        <v>641</v>
      </c>
      <c r="H105" s="66" t="s">
        <v>650</v>
      </c>
      <c r="I105" s="66" t="s">
        <v>27</v>
      </c>
      <c r="J105" s="66" t="s">
        <v>54</v>
      </c>
      <c r="K105" s="67" t="s">
        <v>29</v>
      </c>
      <c r="L105" s="67" t="s">
        <v>645</v>
      </c>
      <c r="M105" s="66" t="s">
        <v>646</v>
      </c>
      <c r="N105" s="68">
        <v>190</v>
      </c>
      <c r="O105" s="68">
        <v>190</v>
      </c>
      <c r="P105" s="68">
        <v>18</v>
      </c>
      <c r="Q105" s="68">
        <v>73000</v>
      </c>
      <c r="R105" s="68">
        <v>63000</v>
      </c>
      <c r="S105" s="69">
        <v>11000</v>
      </c>
    </row>
    <row r="106" spans="1:19" x14ac:dyDescent="0.25">
      <c r="A106" s="70" t="s">
        <v>770</v>
      </c>
      <c r="B106" s="71"/>
      <c r="C106" s="72"/>
      <c r="D106" s="72"/>
      <c r="E106" s="73"/>
      <c r="F106" s="73"/>
      <c r="G106" s="72"/>
      <c r="H106" s="72"/>
      <c r="I106" s="72"/>
      <c r="J106" s="72"/>
      <c r="K106" s="73"/>
      <c r="L106" s="73"/>
      <c r="M106" s="72"/>
      <c r="N106" s="75">
        <f>SUBTOTAL(109,Table1[Total
Licensed Beds])</f>
        <v>37865</v>
      </c>
      <c r="O106" s="75">
        <f>SUBTOTAL(109,Table1[Medicare
Cert. Beds])</f>
        <v>37378</v>
      </c>
      <c r="P106" s="75">
        <f>SUBTOTAL(109,Table1[Licensed
ER Beds])</f>
        <v>3670</v>
      </c>
      <c r="Q106" s="75">
        <f>SUBTOTAL(109,Table1[Adjusted
Patient Days])</f>
        <v>15713000</v>
      </c>
      <c r="R106" s="75">
        <f>SUBTOTAL(109,Table1[Inpatient
Days])</f>
        <v>13489000</v>
      </c>
      <c r="S106" s="74">
        <f>SUBTOTAL(109,Table1[Total
Discharges])</f>
        <v>2182500</v>
      </c>
    </row>
  </sheetData>
  <mergeCells count="1">
    <mergeCell ref="A1:R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42" customWidth="1"/>
    <col min="3" max="3" width="10" customWidth="1"/>
    <col min="4" max="5" width="12" customWidth="1"/>
    <col min="6" max="8" width="14" customWidth="1"/>
  </cols>
  <sheetData>
    <row r="1" spans="1:8" ht="21.95" customHeight="1" x14ac:dyDescent="0.25">
      <c r="A1" s="45" t="s">
        <v>651</v>
      </c>
      <c r="B1" s="46"/>
      <c r="C1" s="46"/>
      <c r="D1" s="46"/>
      <c r="E1" s="46"/>
      <c r="F1" s="46"/>
      <c r="G1" s="46"/>
      <c r="H1" s="46"/>
    </row>
    <row r="2" spans="1:8" ht="30" customHeight="1" x14ac:dyDescent="0.25">
      <c r="A2" s="1" t="s">
        <v>12</v>
      </c>
      <c r="B2" s="1" t="s">
        <v>13</v>
      </c>
      <c r="C2" s="1" t="s">
        <v>652</v>
      </c>
      <c r="D2" s="1" t="s">
        <v>653</v>
      </c>
      <c r="E2" s="1" t="s">
        <v>654</v>
      </c>
      <c r="F2" s="1" t="s">
        <v>14</v>
      </c>
      <c r="G2" s="1" t="s">
        <v>15</v>
      </c>
      <c r="H2" s="1" t="s">
        <v>655</v>
      </c>
    </row>
    <row r="3" spans="1:8" x14ac:dyDescent="0.25">
      <c r="A3" s="14" t="s">
        <v>30</v>
      </c>
      <c r="B3" s="15" t="s">
        <v>31</v>
      </c>
      <c r="C3" s="16">
        <v>33</v>
      </c>
      <c r="D3" s="16">
        <v>30</v>
      </c>
      <c r="E3" s="16">
        <v>3</v>
      </c>
      <c r="F3" s="17">
        <v>13829</v>
      </c>
      <c r="G3" s="17">
        <v>13555</v>
      </c>
      <c r="H3" s="16">
        <v>419</v>
      </c>
    </row>
    <row r="4" spans="1:8" x14ac:dyDescent="0.25">
      <c r="A4" s="2" t="s">
        <v>238</v>
      </c>
      <c r="B4" s="3" t="s">
        <v>239</v>
      </c>
      <c r="C4" s="18">
        <v>12</v>
      </c>
      <c r="D4" s="18">
        <v>10</v>
      </c>
      <c r="E4" s="18">
        <v>2</v>
      </c>
      <c r="F4" s="5">
        <v>4502</v>
      </c>
      <c r="G4" s="5">
        <v>4502</v>
      </c>
      <c r="H4" s="18">
        <v>375</v>
      </c>
    </row>
    <row r="5" spans="1:8" x14ac:dyDescent="0.25">
      <c r="A5" s="14" t="s">
        <v>194</v>
      </c>
      <c r="B5" s="15" t="s">
        <v>195</v>
      </c>
      <c r="C5" s="16">
        <v>9</v>
      </c>
      <c r="D5" s="16">
        <v>8</v>
      </c>
      <c r="E5" s="16">
        <v>1</v>
      </c>
      <c r="F5" s="17">
        <v>3465</v>
      </c>
      <c r="G5" s="17">
        <v>3465</v>
      </c>
      <c r="H5" s="16">
        <v>385</v>
      </c>
    </row>
    <row r="6" spans="1:8" x14ac:dyDescent="0.25">
      <c r="A6" s="2" t="s">
        <v>394</v>
      </c>
      <c r="B6" s="3" t="s">
        <v>395</v>
      </c>
      <c r="C6" s="18">
        <v>8</v>
      </c>
      <c r="D6" s="18">
        <v>7</v>
      </c>
      <c r="E6" s="18">
        <v>1</v>
      </c>
      <c r="F6" s="5">
        <v>3928</v>
      </c>
      <c r="G6" s="5">
        <v>3797</v>
      </c>
      <c r="H6" s="18">
        <v>491</v>
      </c>
    </row>
    <row r="7" spans="1:8" x14ac:dyDescent="0.25">
      <c r="A7" s="14" t="s">
        <v>309</v>
      </c>
      <c r="B7" s="15" t="s">
        <v>310</v>
      </c>
      <c r="C7" s="16">
        <v>6</v>
      </c>
      <c r="D7" s="16">
        <v>5</v>
      </c>
      <c r="E7" s="16">
        <v>1</v>
      </c>
      <c r="F7" s="17">
        <v>2484</v>
      </c>
      <c r="G7" s="17">
        <v>2484</v>
      </c>
      <c r="H7" s="16">
        <v>414</v>
      </c>
    </row>
    <row r="8" spans="1:8" x14ac:dyDescent="0.25">
      <c r="A8" s="2" t="s">
        <v>343</v>
      </c>
      <c r="B8" s="3" t="s">
        <v>344</v>
      </c>
      <c r="C8" s="18">
        <v>5</v>
      </c>
      <c r="D8" s="18">
        <v>4</v>
      </c>
      <c r="E8" s="18">
        <v>1</v>
      </c>
      <c r="F8" s="5">
        <v>1930</v>
      </c>
      <c r="G8" s="5">
        <v>1930</v>
      </c>
      <c r="H8" s="18">
        <v>386</v>
      </c>
    </row>
    <row r="9" spans="1:8" x14ac:dyDescent="0.25">
      <c r="A9" s="14" t="s">
        <v>435</v>
      </c>
      <c r="B9" s="15" t="s">
        <v>436</v>
      </c>
      <c r="C9" s="16">
        <v>4</v>
      </c>
      <c r="D9" s="16">
        <v>4</v>
      </c>
      <c r="E9" s="14">
        <v>0</v>
      </c>
      <c r="F9" s="17">
        <v>1057</v>
      </c>
      <c r="G9" s="17">
        <v>1057</v>
      </c>
      <c r="H9" s="16">
        <v>264</v>
      </c>
    </row>
    <row r="10" spans="1:8" x14ac:dyDescent="0.25">
      <c r="A10" s="2" t="s">
        <v>368</v>
      </c>
      <c r="B10" s="3" t="s">
        <v>369</v>
      </c>
      <c r="C10" s="18">
        <v>3</v>
      </c>
      <c r="D10" s="18">
        <v>3</v>
      </c>
      <c r="E10" s="2">
        <v>0</v>
      </c>
      <c r="F10" s="5">
        <v>1398</v>
      </c>
      <c r="G10" s="5">
        <v>1398</v>
      </c>
      <c r="H10" s="18">
        <v>466</v>
      </c>
    </row>
    <row r="11" spans="1:8" x14ac:dyDescent="0.25">
      <c r="A11" s="14" t="s">
        <v>456</v>
      </c>
      <c r="B11" s="15" t="s">
        <v>457</v>
      </c>
      <c r="C11" s="16">
        <v>3</v>
      </c>
      <c r="D11" s="16">
        <v>3</v>
      </c>
      <c r="E11" s="14">
        <v>0</v>
      </c>
      <c r="F11" s="17">
        <v>896</v>
      </c>
      <c r="G11" s="17">
        <v>869</v>
      </c>
      <c r="H11" s="16">
        <v>298</v>
      </c>
    </row>
    <row r="12" spans="1:8" x14ac:dyDescent="0.25">
      <c r="A12" s="2" t="s">
        <v>474</v>
      </c>
      <c r="B12" s="3" t="s">
        <v>475</v>
      </c>
      <c r="C12" s="18">
        <v>2</v>
      </c>
      <c r="D12" s="18">
        <v>2</v>
      </c>
      <c r="E12" s="2">
        <v>0</v>
      </c>
      <c r="F12" s="5">
        <v>560</v>
      </c>
      <c r="G12" s="5">
        <v>560</v>
      </c>
      <c r="H12" s="18">
        <v>280</v>
      </c>
    </row>
    <row r="13" spans="1:8" x14ac:dyDescent="0.25">
      <c r="A13" s="14" t="s">
        <v>488</v>
      </c>
      <c r="B13" s="15" t="s">
        <v>489</v>
      </c>
      <c r="C13" s="16">
        <v>2</v>
      </c>
      <c r="D13" s="16">
        <v>2</v>
      </c>
      <c r="E13" s="14">
        <v>0</v>
      </c>
      <c r="F13" s="17">
        <v>441</v>
      </c>
      <c r="G13" s="17">
        <v>407</v>
      </c>
      <c r="H13" s="16">
        <v>220</v>
      </c>
    </row>
    <row r="14" spans="1:8" x14ac:dyDescent="0.25">
      <c r="A14" s="2" t="s">
        <v>510</v>
      </c>
      <c r="B14" s="3" t="s">
        <v>511</v>
      </c>
      <c r="C14" s="18">
        <v>2</v>
      </c>
      <c r="D14" s="18">
        <v>2</v>
      </c>
      <c r="E14" s="2">
        <v>0</v>
      </c>
      <c r="F14" s="5">
        <v>395</v>
      </c>
      <c r="G14" s="5">
        <v>395</v>
      </c>
      <c r="H14" s="18">
        <v>197</v>
      </c>
    </row>
    <row r="15" spans="1:8" x14ac:dyDescent="0.25">
      <c r="A15" s="14" t="s">
        <v>524</v>
      </c>
      <c r="B15" s="15" t="s">
        <v>525</v>
      </c>
      <c r="C15" s="16">
        <v>2</v>
      </c>
      <c r="D15" s="16">
        <v>2</v>
      </c>
      <c r="E15" s="14">
        <v>0</v>
      </c>
      <c r="F15" s="17">
        <v>450</v>
      </c>
      <c r="G15" s="17">
        <v>450</v>
      </c>
      <c r="H15" s="16">
        <v>225</v>
      </c>
    </row>
    <row r="16" spans="1:8" x14ac:dyDescent="0.25">
      <c r="A16" s="2" t="s">
        <v>556</v>
      </c>
      <c r="B16" s="3" t="s">
        <v>557</v>
      </c>
      <c r="C16" s="18">
        <v>2</v>
      </c>
      <c r="D16" s="18">
        <v>2</v>
      </c>
      <c r="E16" s="2">
        <v>0</v>
      </c>
      <c r="F16" s="5">
        <v>493</v>
      </c>
      <c r="G16" s="5">
        <v>493</v>
      </c>
      <c r="H16" s="18">
        <v>246</v>
      </c>
    </row>
    <row r="17" spans="1:8" x14ac:dyDescent="0.25">
      <c r="A17" s="14" t="s">
        <v>577</v>
      </c>
      <c r="B17" s="15" t="s">
        <v>578</v>
      </c>
      <c r="C17" s="16">
        <v>2</v>
      </c>
      <c r="D17" s="16">
        <v>2</v>
      </c>
      <c r="E17" s="14">
        <v>0</v>
      </c>
      <c r="F17" s="17">
        <v>276</v>
      </c>
      <c r="G17" s="17">
        <v>276</v>
      </c>
      <c r="H17" s="16">
        <v>138</v>
      </c>
    </row>
    <row r="18" spans="1:8" x14ac:dyDescent="0.25">
      <c r="A18" s="2" t="s">
        <v>645</v>
      </c>
      <c r="B18" s="3" t="s">
        <v>646</v>
      </c>
      <c r="C18" s="18">
        <v>2</v>
      </c>
      <c r="D18" s="18">
        <v>2</v>
      </c>
      <c r="E18" s="2">
        <v>0</v>
      </c>
      <c r="F18" s="5">
        <v>318</v>
      </c>
      <c r="G18" s="5">
        <v>318</v>
      </c>
      <c r="H18" s="18">
        <v>159</v>
      </c>
    </row>
    <row r="19" spans="1:8" x14ac:dyDescent="0.25">
      <c r="A19" s="14" t="s">
        <v>385</v>
      </c>
      <c r="B19" s="15" t="s">
        <v>386</v>
      </c>
      <c r="C19" s="16">
        <v>1</v>
      </c>
      <c r="D19" s="14">
        <v>0</v>
      </c>
      <c r="E19" s="16">
        <v>1</v>
      </c>
      <c r="F19" s="17">
        <v>358</v>
      </c>
      <c r="G19" s="17">
        <v>358</v>
      </c>
      <c r="H19" s="16">
        <v>358</v>
      </c>
    </row>
    <row r="20" spans="1:8" x14ac:dyDescent="0.25">
      <c r="A20" s="2" t="s">
        <v>501</v>
      </c>
      <c r="B20" s="3" t="s">
        <v>502</v>
      </c>
      <c r="C20" s="18">
        <v>1</v>
      </c>
      <c r="D20" s="18">
        <v>1</v>
      </c>
      <c r="E20" s="2">
        <v>0</v>
      </c>
      <c r="F20" s="5">
        <v>531</v>
      </c>
      <c r="G20" s="5">
        <v>531</v>
      </c>
      <c r="H20" s="18">
        <v>531</v>
      </c>
    </row>
    <row r="21" spans="1:8" x14ac:dyDescent="0.25">
      <c r="A21" s="14" t="s">
        <v>538</v>
      </c>
      <c r="B21" s="15" t="s">
        <v>539</v>
      </c>
      <c r="C21" s="16">
        <v>1</v>
      </c>
      <c r="D21" s="16">
        <v>1</v>
      </c>
      <c r="E21" s="14">
        <v>0</v>
      </c>
      <c r="F21" s="17">
        <v>186</v>
      </c>
      <c r="G21" s="17">
        <v>186</v>
      </c>
      <c r="H21" s="16">
        <v>186</v>
      </c>
    </row>
    <row r="22" spans="1:8" x14ac:dyDescent="0.25">
      <c r="A22" s="2" t="s">
        <v>547</v>
      </c>
      <c r="B22" s="3" t="s">
        <v>548</v>
      </c>
      <c r="C22" s="18">
        <v>1</v>
      </c>
      <c r="D22" s="18">
        <v>1</v>
      </c>
      <c r="E22" s="2">
        <v>0</v>
      </c>
      <c r="F22" s="5">
        <v>581</v>
      </c>
      <c r="G22" s="5">
        <v>581</v>
      </c>
      <c r="H22" s="18">
        <v>581</v>
      </c>
    </row>
    <row r="23" spans="1:8" x14ac:dyDescent="0.25">
      <c r="A23" s="14" t="s">
        <v>569</v>
      </c>
      <c r="B23" s="15" t="s">
        <v>570</v>
      </c>
      <c r="C23" s="16">
        <v>1</v>
      </c>
      <c r="D23" s="16">
        <v>1</v>
      </c>
      <c r="E23" s="14">
        <v>0</v>
      </c>
      <c r="F23" s="17">
        <v>298</v>
      </c>
      <c r="G23" s="17">
        <v>298</v>
      </c>
      <c r="H23" s="16">
        <v>298</v>
      </c>
    </row>
    <row r="24" spans="1:8" x14ac:dyDescent="0.25">
      <c r="A24" s="2" t="s">
        <v>591</v>
      </c>
      <c r="B24" s="3" t="s">
        <v>592</v>
      </c>
      <c r="C24" s="18">
        <v>1</v>
      </c>
      <c r="D24" s="18">
        <v>1</v>
      </c>
      <c r="E24" s="2">
        <v>0</v>
      </c>
      <c r="F24" s="5">
        <v>161</v>
      </c>
      <c r="G24" s="5">
        <v>140</v>
      </c>
      <c r="H24" s="18">
        <v>161</v>
      </c>
    </row>
    <row r="25" spans="1:8" x14ac:dyDescent="0.25">
      <c r="A25" s="14" t="s">
        <v>600</v>
      </c>
      <c r="B25" s="15" t="s">
        <v>601</v>
      </c>
      <c r="C25" s="16">
        <v>1</v>
      </c>
      <c r="D25" s="16">
        <v>1</v>
      </c>
      <c r="E25" s="14">
        <v>0</v>
      </c>
      <c r="F25" s="17">
        <v>173</v>
      </c>
      <c r="G25" s="17">
        <v>173</v>
      </c>
      <c r="H25" s="16">
        <v>173</v>
      </c>
    </row>
    <row r="26" spans="1:8" x14ac:dyDescent="0.25">
      <c r="A26" s="2" t="s">
        <v>609</v>
      </c>
      <c r="B26" s="3" t="s">
        <v>610</v>
      </c>
      <c r="C26" s="18">
        <v>1</v>
      </c>
      <c r="D26" s="18">
        <v>1</v>
      </c>
      <c r="E26" s="2">
        <v>0</v>
      </c>
      <c r="F26" s="5">
        <v>46</v>
      </c>
      <c r="G26" s="5">
        <v>46</v>
      </c>
      <c r="H26" s="18">
        <v>46</v>
      </c>
    </row>
    <row r="27" spans="1:8" x14ac:dyDescent="0.25">
      <c r="A27" s="19" t="s">
        <v>656</v>
      </c>
      <c r="B27" s="20" t="s">
        <v>657</v>
      </c>
      <c r="C27" s="21">
        <f>SUM(C3:C26)</f>
        <v>105</v>
      </c>
      <c r="D27" s="21">
        <f>SUM(D3:D26)</f>
        <v>95</v>
      </c>
      <c r="E27" s="21">
        <f>SUM(E3:E26)</f>
        <v>10</v>
      </c>
      <c r="F27" s="22">
        <f>SUM(F3:F26)</f>
        <v>38756</v>
      </c>
      <c r="G27" s="22">
        <f>SUM(G3:G26)</f>
        <v>38269</v>
      </c>
      <c r="H27" s="21">
        <f>IFERROR(F27/C27,"")</f>
        <v>369.10476190476192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8" customWidth="1"/>
    <col min="2" max="2" width="42" customWidth="1"/>
    <col min="3" max="3" width="10" customWidth="1"/>
    <col min="4" max="6" width="14" customWidth="1"/>
  </cols>
  <sheetData>
    <row r="1" spans="1:6" ht="21.95" customHeight="1" x14ac:dyDescent="0.25">
      <c r="A1" s="45" t="s">
        <v>658</v>
      </c>
      <c r="B1" s="46"/>
      <c r="C1" s="46"/>
      <c r="D1" s="46"/>
      <c r="E1" s="46"/>
      <c r="F1" s="46"/>
    </row>
    <row r="2" spans="1:6" ht="30" customHeight="1" x14ac:dyDescent="0.25">
      <c r="A2" s="1" t="s">
        <v>7</v>
      </c>
      <c r="B2" s="1" t="s">
        <v>13</v>
      </c>
      <c r="C2" s="1" t="s">
        <v>652</v>
      </c>
      <c r="D2" s="1" t="s">
        <v>14</v>
      </c>
      <c r="E2" s="1" t="s">
        <v>15</v>
      </c>
      <c r="F2" s="1" t="s">
        <v>659</v>
      </c>
    </row>
    <row r="3" spans="1:6" x14ac:dyDescent="0.25">
      <c r="A3" s="11" t="s">
        <v>23</v>
      </c>
      <c r="B3" s="12" t="s">
        <v>31</v>
      </c>
      <c r="C3" s="23">
        <v>27</v>
      </c>
      <c r="D3" s="13">
        <v>11598</v>
      </c>
      <c r="E3" s="13">
        <v>11324</v>
      </c>
      <c r="F3" s="24">
        <f t="shared" ref="F3:F31" si="0">IFERROR(E3/D3,"")</f>
        <v>0.97637523710984653</v>
      </c>
    </row>
    <row r="4" spans="1:6" x14ac:dyDescent="0.25">
      <c r="A4" s="3" t="s">
        <v>191</v>
      </c>
      <c r="B4" s="4" t="s">
        <v>195</v>
      </c>
      <c r="C4" s="18">
        <v>9</v>
      </c>
      <c r="D4" s="5">
        <v>3465</v>
      </c>
      <c r="E4" s="5">
        <v>3465</v>
      </c>
      <c r="F4" s="25">
        <f t="shared" si="0"/>
        <v>1</v>
      </c>
    </row>
    <row r="5" spans="1:6" x14ac:dyDescent="0.25">
      <c r="A5" s="11" t="s">
        <v>307</v>
      </c>
      <c r="B5" s="12" t="s">
        <v>310</v>
      </c>
      <c r="C5" s="23">
        <v>6</v>
      </c>
      <c r="D5" s="13">
        <v>2484</v>
      </c>
      <c r="E5" s="13">
        <v>2484</v>
      </c>
      <c r="F5" s="24">
        <f t="shared" si="0"/>
        <v>1</v>
      </c>
    </row>
    <row r="6" spans="1:6" x14ac:dyDescent="0.25">
      <c r="A6" s="3" t="s">
        <v>392</v>
      </c>
      <c r="B6" s="4" t="s">
        <v>395</v>
      </c>
      <c r="C6" s="18">
        <v>4</v>
      </c>
      <c r="D6" s="5">
        <v>2302</v>
      </c>
      <c r="E6" s="5">
        <v>2231</v>
      </c>
      <c r="F6" s="25">
        <f t="shared" si="0"/>
        <v>0.96915725456125112</v>
      </c>
    </row>
    <row r="7" spans="1:6" x14ac:dyDescent="0.25">
      <c r="A7" s="11" t="s">
        <v>159</v>
      </c>
      <c r="B7" s="12" t="s">
        <v>31</v>
      </c>
      <c r="C7" s="23">
        <v>6</v>
      </c>
      <c r="D7" s="13">
        <v>2231</v>
      </c>
      <c r="E7" s="13">
        <v>2231</v>
      </c>
      <c r="F7" s="24">
        <f t="shared" si="0"/>
        <v>1</v>
      </c>
    </row>
    <row r="8" spans="1:6" x14ac:dyDescent="0.25">
      <c r="A8" s="3" t="s">
        <v>235</v>
      </c>
      <c r="B8" s="4" t="s">
        <v>239</v>
      </c>
      <c r="C8" s="18">
        <v>5</v>
      </c>
      <c r="D8" s="5">
        <v>2148</v>
      </c>
      <c r="E8" s="5">
        <v>2148</v>
      </c>
      <c r="F8" s="25">
        <f t="shared" si="0"/>
        <v>1</v>
      </c>
    </row>
    <row r="9" spans="1:6" x14ac:dyDescent="0.25">
      <c r="A9" s="11" t="s">
        <v>340</v>
      </c>
      <c r="B9" s="12" t="s">
        <v>344</v>
      </c>
      <c r="C9" s="23">
        <v>5</v>
      </c>
      <c r="D9" s="13">
        <v>1930</v>
      </c>
      <c r="E9" s="13">
        <v>1930</v>
      </c>
      <c r="F9" s="24">
        <f t="shared" si="0"/>
        <v>1</v>
      </c>
    </row>
    <row r="10" spans="1:6" x14ac:dyDescent="0.25">
      <c r="A10" s="3" t="s">
        <v>401</v>
      </c>
      <c r="B10" s="4" t="s">
        <v>395</v>
      </c>
      <c r="C10" s="18">
        <v>4</v>
      </c>
      <c r="D10" s="5">
        <v>1626</v>
      </c>
      <c r="E10" s="5">
        <v>1566</v>
      </c>
      <c r="F10" s="25">
        <f t="shared" si="0"/>
        <v>0.96309963099630991</v>
      </c>
    </row>
    <row r="11" spans="1:6" x14ac:dyDescent="0.25">
      <c r="A11" s="11" t="s">
        <v>265</v>
      </c>
      <c r="B11" s="12" t="s">
        <v>239</v>
      </c>
      <c r="C11" s="23">
        <v>5</v>
      </c>
      <c r="D11" s="13">
        <v>1565</v>
      </c>
      <c r="E11" s="13">
        <v>1565</v>
      </c>
      <c r="F11" s="24">
        <f t="shared" si="0"/>
        <v>1</v>
      </c>
    </row>
    <row r="12" spans="1:6" x14ac:dyDescent="0.25">
      <c r="A12" s="3" t="s">
        <v>365</v>
      </c>
      <c r="B12" s="4" t="s">
        <v>369</v>
      </c>
      <c r="C12" s="18">
        <v>3</v>
      </c>
      <c r="D12" s="5">
        <v>1398</v>
      </c>
      <c r="E12" s="5">
        <v>1398</v>
      </c>
      <c r="F12" s="25">
        <f t="shared" si="0"/>
        <v>1</v>
      </c>
    </row>
    <row r="13" spans="1:6" x14ac:dyDescent="0.25">
      <c r="A13" s="11" t="s">
        <v>432</v>
      </c>
      <c r="B13" s="12" t="s">
        <v>436</v>
      </c>
      <c r="C13" s="23">
        <v>4</v>
      </c>
      <c r="D13" s="13">
        <v>1057</v>
      </c>
      <c r="E13" s="13">
        <v>1057</v>
      </c>
      <c r="F13" s="24">
        <f t="shared" si="0"/>
        <v>1</v>
      </c>
    </row>
    <row r="14" spans="1:6" x14ac:dyDescent="0.25">
      <c r="A14" s="3" t="s">
        <v>454</v>
      </c>
      <c r="B14" s="4" t="s">
        <v>457</v>
      </c>
      <c r="C14" s="18">
        <v>3</v>
      </c>
      <c r="D14" s="5">
        <v>896</v>
      </c>
      <c r="E14" s="5">
        <v>869</v>
      </c>
      <c r="F14" s="25">
        <f t="shared" si="0"/>
        <v>0.9698660714285714</v>
      </c>
    </row>
    <row r="15" spans="1:6" x14ac:dyDescent="0.25">
      <c r="A15" s="11" t="s">
        <v>545</v>
      </c>
      <c r="B15" s="12" t="s">
        <v>548</v>
      </c>
      <c r="C15" s="23">
        <v>1</v>
      </c>
      <c r="D15" s="13">
        <v>581</v>
      </c>
      <c r="E15" s="13">
        <v>581</v>
      </c>
      <c r="F15" s="24">
        <f t="shared" si="0"/>
        <v>1</v>
      </c>
    </row>
    <row r="16" spans="1:6" x14ac:dyDescent="0.25">
      <c r="A16" s="3" t="s">
        <v>472</v>
      </c>
      <c r="B16" s="4" t="s">
        <v>475</v>
      </c>
      <c r="C16" s="18">
        <v>2</v>
      </c>
      <c r="D16" s="5">
        <v>560</v>
      </c>
      <c r="E16" s="5">
        <v>560</v>
      </c>
      <c r="F16" s="25">
        <f t="shared" si="0"/>
        <v>1</v>
      </c>
    </row>
    <row r="17" spans="1:6" x14ac:dyDescent="0.25">
      <c r="A17" s="11" t="s">
        <v>284</v>
      </c>
      <c r="B17" s="12" t="s">
        <v>239</v>
      </c>
      <c r="C17" s="23">
        <v>1</v>
      </c>
      <c r="D17" s="13">
        <v>554</v>
      </c>
      <c r="E17" s="13">
        <v>554</v>
      </c>
      <c r="F17" s="24">
        <f t="shared" si="0"/>
        <v>1</v>
      </c>
    </row>
    <row r="18" spans="1:6" x14ac:dyDescent="0.25">
      <c r="A18" s="3" t="s">
        <v>498</v>
      </c>
      <c r="B18" s="4" t="s">
        <v>502</v>
      </c>
      <c r="C18" s="18">
        <v>1</v>
      </c>
      <c r="D18" s="5">
        <v>531</v>
      </c>
      <c r="E18" s="5">
        <v>531</v>
      </c>
      <c r="F18" s="25">
        <f t="shared" si="0"/>
        <v>1</v>
      </c>
    </row>
    <row r="19" spans="1:6" x14ac:dyDescent="0.25">
      <c r="A19" s="11" t="s">
        <v>554</v>
      </c>
      <c r="B19" s="12" t="s">
        <v>557</v>
      </c>
      <c r="C19" s="23">
        <v>2</v>
      </c>
      <c r="D19" s="13">
        <v>493</v>
      </c>
      <c r="E19" s="13">
        <v>493</v>
      </c>
      <c r="F19" s="24">
        <f t="shared" si="0"/>
        <v>1</v>
      </c>
    </row>
    <row r="20" spans="1:6" x14ac:dyDescent="0.25">
      <c r="A20" s="3" t="s">
        <v>522</v>
      </c>
      <c r="B20" s="4" t="s">
        <v>525</v>
      </c>
      <c r="C20" s="18">
        <v>2</v>
      </c>
      <c r="D20" s="5">
        <v>450</v>
      </c>
      <c r="E20" s="5">
        <v>450</v>
      </c>
      <c r="F20" s="25">
        <f t="shared" si="0"/>
        <v>1</v>
      </c>
    </row>
    <row r="21" spans="1:6" x14ac:dyDescent="0.25">
      <c r="A21" s="11" t="s">
        <v>486</v>
      </c>
      <c r="B21" s="12" t="s">
        <v>489</v>
      </c>
      <c r="C21" s="23">
        <v>2</v>
      </c>
      <c r="D21" s="13">
        <v>441</v>
      </c>
      <c r="E21" s="13">
        <v>407</v>
      </c>
      <c r="F21" s="24">
        <f t="shared" si="0"/>
        <v>0.92290249433106575</v>
      </c>
    </row>
    <row r="22" spans="1:6" x14ac:dyDescent="0.25">
      <c r="A22" s="3" t="s">
        <v>508</v>
      </c>
      <c r="B22" s="4" t="s">
        <v>511</v>
      </c>
      <c r="C22" s="18">
        <v>2</v>
      </c>
      <c r="D22" s="5">
        <v>395</v>
      </c>
      <c r="E22" s="5">
        <v>395</v>
      </c>
      <c r="F22" s="25">
        <f t="shared" si="0"/>
        <v>1</v>
      </c>
    </row>
    <row r="23" spans="1:6" x14ac:dyDescent="0.25">
      <c r="A23" s="11" t="s">
        <v>382</v>
      </c>
      <c r="B23" s="12" t="s">
        <v>386</v>
      </c>
      <c r="C23" s="23">
        <v>1</v>
      </c>
      <c r="D23" s="13">
        <v>358</v>
      </c>
      <c r="E23" s="13">
        <v>358</v>
      </c>
      <c r="F23" s="24">
        <f t="shared" si="0"/>
        <v>1</v>
      </c>
    </row>
    <row r="24" spans="1:6" x14ac:dyDescent="0.25">
      <c r="A24" s="3" t="s">
        <v>641</v>
      </c>
      <c r="B24" s="4" t="s">
        <v>646</v>
      </c>
      <c r="C24" s="18">
        <v>2</v>
      </c>
      <c r="D24" s="5">
        <v>318</v>
      </c>
      <c r="E24" s="5">
        <v>318</v>
      </c>
      <c r="F24" s="25">
        <f t="shared" si="0"/>
        <v>1</v>
      </c>
    </row>
    <row r="25" spans="1:6" x14ac:dyDescent="0.25">
      <c r="A25" s="11" t="s">
        <v>567</v>
      </c>
      <c r="B25" s="12" t="s">
        <v>570</v>
      </c>
      <c r="C25" s="23">
        <v>1</v>
      </c>
      <c r="D25" s="13">
        <v>298</v>
      </c>
      <c r="E25" s="13">
        <v>298</v>
      </c>
      <c r="F25" s="24">
        <f t="shared" si="0"/>
        <v>1</v>
      </c>
    </row>
    <row r="26" spans="1:6" x14ac:dyDescent="0.25">
      <c r="A26" s="3" t="s">
        <v>574</v>
      </c>
      <c r="B26" s="4" t="s">
        <v>578</v>
      </c>
      <c r="C26" s="18">
        <v>2</v>
      </c>
      <c r="D26" s="5">
        <v>276</v>
      </c>
      <c r="E26" s="5">
        <v>276</v>
      </c>
      <c r="F26" s="25">
        <f t="shared" si="0"/>
        <v>1</v>
      </c>
    </row>
    <row r="27" spans="1:6" x14ac:dyDescent="0.25">
      <c r="A27" s="11" t="s">
        <v>296</v>
      </c>
      <c r="B27" s="12" t="s">
        <v>239</v>
      </c>
      <c r="C27" s="23">
        <v>1</v>
      </c>
      <c r="D27" s="13">
        <v>235</v>
      </c>
      <c r="E27" s="13">
        <v>235</v>
      </c>
      <c r="F27" s="24">
        <f t="shared" si="0"/>
        <v>1</v>
      </c>
    </row>
    <row r="28" spans="1:6" x14ac:dyDescent="0.25">
      <c r="A28" s="3" t="s">
        <v>535</v>
      </c>
      <c r="B28" s="4" t="s">
        <v>539</v>
      </c>
      <c r="C28" s="18">
        <v>1</v>
      </c>
      <c r="D28" s="5">
        <v>186</v>
      </c>
      <c r="E28" s="5">
        <v>186</v>
      </c>
      <c r="F28" s="25">
        <f t="shared" si="0"/>
        <v>1</v>
      </c>
    </row>
    <row r="29" spans="1:6" x14ac:dyDescent="0.25">
      <c r="A29" s="11" t="s">
        <v>598</v>
      </c>
      <c r="B29" s="12" t="s">
        <v>601</v>
      </c>
      <c r="C29" s="23">
        <v>1</v>
      </c>
      <c r="D29" s="13">
        <v>173</v>
      </c>
      <c r="E29" s="13">
        <v>173</v>
      </c>
      <c r="F29" s="24">
        <f t="shared" si="0"/>
        <v>1</v>
      </c>
    </row>
    <row r="30" spans="1:6" x14ac:dyDescent="0.25">
      <c r="A30" s="3" t="s">
        <v>589</v>
      </c>
      <c r="B30" s="4" t="s">
        <v>592</v>
      </c>
      <c r="C30" s="18">
        <v>1</v>
      </c>
      <c r="D30" s="5">
        <v>161</v>
      </c>
      <c r="E30" s="5">
        <v>140</v>
      </c>
      <c r="F30" s="25">
        <f t="shared" si="0"/>
        <v>0.86956521739130432</v>
      </c>
    </row>
    <row r="31" spans="1:6" x14ac:dyDescent="0.25">
      <c r="A31" s="11" t="s">
        <v>607</v>
      </c>
      <c r="B31" s="12" t="s">
        <v>610</v>
      </c>
      <c r="C31" s="23">
        <v>1</v>
      </c>
      <c r="D31" s="13">
        <v>46</v>
      </c>
      <c r="E31" s="13">
        <v>46</v>
      </c>
      <c r="F31" s="24">
        <f t="shared" si="0"/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tabSelected="1" workbookViewId="0">
      <pane ySplit="3" topLeftCell="A4" activePane="bottomLeft" state="frozen"/>
      <selection pane="bottomLeft" sqref="A1:N1"/>
    </sheetView>
  </sheetViews>
  <sheetFormatPr defaultRowHeight="15" x14ac:dyDescent="0.25"/>
  <cols>
    <col min="1" max="1" width="8" customWidth="1"/>
    <col min="2" max="2" width="40" customWidth="1"/>
    <col min="3" max="3" width="14" customWidth="1"/>
    <col min="4" max="5" width="13" customWidth="1"/>
    <col min="6" max="6" width="11" customWidth="1"/>
    <col min="7" max="7" width="12" customWidth="1"/>
    <col min="8" max="8" width="9" customWidth="1"/>
    <col min="9" max="9" width="13" customWidth="1"/>
    <col min="10" max="11" width="9" customWidth="1"/>
    <col min="12" max="12" width="13" customWidth="1"/>
    <col min="13" max="13" width="14" customWidth="1"/>
    <col min="14" max="14" width="13" customWidth="1"/>
  </cols>
  <sheetData>
    <row r="1" spans="1:14" ht="21.95" customHeight="1" x14ac:dyDescent="0.25">
      <c r="A1" s="45" t="s">
        <v>660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8" customHeight="1" x14ac:dyDescent="0.25">
      <c r="A2" s="47" t="s">
        <v>661</v>
      </c>
      <c r="B2" s="46"/>
      <c r="C2" s="48" t="s">
        <v>662</v>
      </c>
      <c r="D2" s="46"/>
      <c r="E2" s="46"/>
      <c r="F2" s="46"/>
      <c r="G2" s="46"/>
      <c r="H2" s="51" t="s">
        <v>663</v>
      </c>
      <c r="I2" s="46"/>
      <c r="J2" s="46"/>
      <c r="K2" s="46"/>
      <c r="L2" s="52" t="s">
        <v>664</v>
      </c>
      <c r="M2" s="46"/>
      <c r="N2" s="46"/>
    </row>
    <row r="3" spans="1:14" ht="42" customHeight="1" x14ac:dyDescent="0.25">
      <c r="A3" s="1" t="s">
        <v>665</v>
      </c>
      <c r="B3" s="1" t="s">
        <v>13</v>
      </c>
      <c r="C3" s="1" t="s">
        <v>666</v>
      </c>
      <c r="D3" s="1" t="s">
        <v>667</v>
      </c>
      <c r="E3" s="1" t="s">
        <v>668</v>
      </c>
      <c r="F3" s="1" t="s">
        <v>669</v>
      </c>
      <c r="G3" s="1" t="s">
        <v>670</v>
      </c>
      <c r="H3" s="1" t="s">
        <v>671</v>
      </c>
      <c r="I3" s="1" t="s">
        <v>672</v>
      </c>
      <c r="J3" s="1" t="s">
        <v>673</v>
      </c>
      <c r="K3" s="1" t="s">
        <v>674</v>
      </c>
      <c r="L3" s="1" t="s">
        <v>675</v>
      </c>
      <c r="M3" s="1" t="s">
        <v>676</v>
      </c>
      <c r="N3" s="1" t="s">
        <v>677</v>
      </c>
    </row>
    <row r="4" spans="1:14" x14ac:dyDescent="0.25">
      <c r="A4" s="14" t="s">
        <v>30</v>
      </c>
      <c r="B4" s="15" t="s">
        <v>31</v>
      </c>
      <c r="C4" s="17">
        <v>10014009</v>
      </c>
      <c r="D4" s="17">
        <v>3248912</v>
      </c>
      <c r="E4" s="17">
        <v>2468</v>
      </c>
      <c r="F4" s="17">
        <v>4058</v>
      </c>
      <c r="G4" s="30">
        <v>6.2554614266270474E-3</v>
      </c>
      <c r="H4" s="31">
        <v>36.799999999999997</v>
      </c>
      <c r="I4" s="32">
        <v>76354</v>
      </c>
      <c r="J4" s="33">
        <v>12.4</v>
      </c>
      <c r="K4" s="34">
        <f t="shared" ref="K4:K27" si="0">C4/D4</f>
        <v>3.0822653860738609</v>
      </c>
      <c r="L4" s="34">
        <f>33/(C4/100000)</f>
        <v>0.32953834972586904</v>
      </c>
      <c r="M4" s="34">
        <f>13829/(C4/1000)</f>
        <v>1.3809654055633462</v>
      </c>
      <c r="N4" s="17">
        <f>C4/13829</f>
        <v>724.13110130884377</v>
      </c>
    </row>
    <row r="5" spans="1:14" x14ac:dyDescent="0.25">
      <c r="A5" s="2" t="s">
        <v>238</v>
      </c>
      <c r="B5" s="3" t="s">
        <v>239</v>
      </c>
      <c r="C5" s="5">
        <v>4749008</v>
      </c>
      <c r="D5" s="5">
        <v>1847322</v>
      </c>
      <c r="E5" s="5">
        <v>680</v>
      </c>
      <c r="F5" s="5">
        <v>6984</v>
      </c>
      <c r="G5" s="35">
        <v>0</v>
      </c>
      <c r="H5" s="36">
        <v>38.9</v>
      </c>
      <c r="I5" s="37">
        <v>116837</v>
      </c>
      <c r="J5" s="38">
        <v>14.2</v>
      </c>
      <c r="K5" s="39">
        <f t="shared" si="0"/>
        <v>2.5707526895690087</v>
      </c>
      <c r="L5" s="39">
        <f>12/(C5/100000)</f>
        <v>0.25268435007900597</v>
      </c>
      <c r="M5" s="39">
        <f>4502/(C5/1000)</f>
        <v>0.94798745337973744</v>
      </c>
      <c r="N5" s="5">
        <f>C5/4502</f>
        <v>1054.8662816525989</v>
      </c>
    </row>
    <row r="6" spans="1:14" x14ac:dyDescent="0.25">
      <c r="A6" s="14" t="s">
        <v>394</v>
      </c>
      <c r="B6" s="15" t="s">
        <v>395</v>
      </c>
      <c r="C6" s="17">
        <v>4599839</v>
      </c>
      <c r="D6" s="17">
        <v>1489077</v>
      </c>
      <c r="E6" s="17">
        <v>168</v>
      </c>
      <c r="F6" s="17">
        <v>27403</v>
      </c>
      <c r="G6" s="30">
        <v>0</v>
      </c>
      <c r="H6" s="31">
        <v>35.5</v>
      </c>
      <c r="I6" s="32">
        <v>72424</v>
      </c>
      <c r="J6" s="33">
        <v>12.1</v>
      </c>
      <c r="K6" s="34">
        <f t="shared" si="0"/>
        <v>3.0890538232744178</v>
      </c>
      <c r="L6" s="34">
        <f>8/(C6/100000)</f>
        <v>0.17391913064783354</v>
      </c>
      <c r="M6" s="34">
        <f>3928/(C6/1000)</f>
        <v>0.85394293148086275</v>
      </c>
      <c r="N6" s="17">
        <f>C6/3928</f>
        <v>1171.0384419551935</v>
      </c>
    </row>
    <row r="7" spans="1:14" x14ac:dyDescent="0.25">
      <c r="A7" s="2" t="s">
        <v>194</v>
      </c>
      <c r="B7" s="3" t="s">
        <v>195</v>
      </c>
      <c r="C7" s="5">
        <v>3298634</v>
      </c>
      <c r="D7" s="5">
        <v>1157040</v>
      </c>
      <c r="E7" s="5">
        <v>784</v>
      </c>
      <c r="F7" s="5">
        <v>4207</v>
      </c>
      <c r="G7" s="35">
        <v>-3.963658475944559E-3</v>
      </c>
      <c r="H7" s="36">
        <v>37.1</v>
      </c>
      <c r="I7" s="37">
        <v>93834</v>
      </c>
      <c r="J7" s="38">
        <v>13.8</v>
      </c>
      <c r="K7" s="39">
        <f t="shared" si="0"/>
        <v>2.8509247735601191</v>
      </c>
      <c r="L7" s="39">
        <f>9/(C7/100000)</f>
        <v>0.2728402120392866</v>
      </c>
      <c r="M7" s="39">
        <f>3465/(C7/1000)</f>
        <v>1.0504348163512534</v>
      </c>
      <c r="N7" s="5">
        <f>C7/3465</f>
        <v>951.9867243867244</v>
      </c>
    </row>
    <row r="8" spans="1:14" x14ac:dyDescent="0.25">
      <c r="A8" s="14" t="s">
        <v>343</v>
      </c>
      <c r="B8" s="15" t="s">
        <v>344</v>
      </c>
      <c r="C8" s="17">
        <v>2430350</v>
      </c>
      <c r="D8" s="17">
        <v>875064</v>
      </c>
      <c r="E8" s="17">
        <v>243</v>
      </c>
      <c r="F8" s="17">
        <v>9984</v>
      </c>
      <c r="G8" s="30">
        <v>1.512132791714913E-2</v>
      </c>
      <c r="H8" s="31">
        <v>37.200000000000003</v>
      </c>
      <c r="I8" s="32">
        <v>85623</v>
      </c>
      <c r="J8" s="33">
        <v>14.1</v>
      </c>
      <c r="K8" s="34">
        <f t="shared" si="0"/>
        <v>2.7773397145808763</v>
      </c>
      <c r="L8" s="34">
        <f>5/(C8/100000)</f>
        <v>0.20573168473676631</v>
      </c>
      <c r="M8" s="34">
        <f>1930/(C8/1000)</f>
        <v>0.79412430308391802</v>
      </c>
      <c r="N8" s="17">
        <f>C8/1930</f>
        <v>1259.2487046632125</v>
      </c>
    </row>
    <row r="9" spans="1:14" x14ac:dyDescent="0.25">
      <c r="A9" s="2" t="s">
        <v>309</v>
      </c>
      <c r="B9" s="3" t="s">
        <v>310</v>
      </c>
      <c r="C9" s="5">
        <v>2000468</v>
      </c>
      <c r="D9" s="5">
        <v>686561</v>
      </c>
      <c r="E9" s="5">
        <v>1550</v>
      </c>
      <c r="F9" s="5">
        <v>1291</v>
      </c>
      <c r="G9" s="35">
        <v>1.642336377549824E-3</v>
      </c>
      <c r="H9" s="36">
        <v>38</v>
      </c>
      <c r="I9" s="37">
        <v>141372</v>
      </c>
      <c r="J9" s="38">
        <v>13</v>
      </c>
      <c r="K9" s="39">
        <f t="shared" si="0"/>
        <v>2.9137512908539809</v>
      </c>
      <c r="L9" s="39">
        <f>6/(C9/100000)</f>
        <v>0.29992981642295702</v>
      </c>
      <c r="M9" s="39">
        <f>2484/(C9/1000)</f>
        <v>1.241709439991042</v>
      </c>
      <c r="N9" s="5">
        <f>C9/2484</f>
        <v>805.34138486312395</v>
      </c>
    </row>
    <row r="10" spans="1:14" x14ac:dyDescent="0.25">
      <c r="A10" s="14" t="s">
        <v>609</v>
      </c>
      <c r="B10" s="15" t="s">
        <v>610</v>
      </c>
      <c r="C10" s="17">
        <v>1983000</v>
      </c>
      <c r="D10" s="17">
        <v>680000</v>
      </c>
      <c r="E10" s="17">
        <v>21</v>
      </c>
      <c r="F10" s="17">
        <v>95000</v>
      </c>
      <c r="G10" s="30">
        <v>3.9115646258503396E-3</v>
      </c>
      <c r="H10" s="31">
        <v>40.1</v>
      </c>
      <c r="I10" s="32">
        <v>58000</v>
      </c>
      <c r="J10" s="33">
        <v>17.2</v>
      </c>
      <c r="K10" s="34">
        <f t="shared" si="0"/>
        <v>2.9161764705882351</v>
      </c>
      <c r="L10" s="34">
        <f>1/(C10/100000)</f>
        <v>5.0428643469490678E-2</v>
      </c>
      <c r="M10" s="34">
        <f>46/(C10/1000)</f>
        <v>2.319717599596571E-2</v>
      </c>
      <c r="N10" s="17">
        <f>C10/46</f>
        <v>43108.695652173912</v>
      </c>
    </row>
    <row r="11" spans="1:14" x14ac:dyDescent="0.25">
      <c r="A11" s="2" t="s">
        <v>368</v>
      </c>
      <c r="B11" s="3" t="s">
        <v>369</v>
      </c>
      <c r="C11" s="5">
        <v>1012657</v>
      </c>
      <c r="D11" s="5">
        <v>306184</v>
      </c>
      <c r="E11" s="5">
        <v>170</v>
      </c>
      <c r="F11" s="5">
        <v>5963</v>
      </c>
      <c r="G11" s="35">
        <v>4.5227326032770123E-3</v>
      </c>
      <c r="H11" s="36">
        <v>32</v>
      </c>
      <c r="I11" s="37">
        <v>58216</v>
      </c>
      <c r="J11" s="38">
        <v>11.3</v>
      </c>
      <c r="K11" s="39">
        <f t="shared" si="0"/>
        <v>3.3073478692550884</v>
      </c>
      <c r="L11" s="39">
        <f>3/(C11/100000)</f>
        <v>0.29625035920356058</v>
      </c>
      <c r="M11" s="39">
        <f>1398/(C11/1000)</f>
        <v>1.380526673888592</v>
      </c>
      <c r="N11" s="5">
        <f>C11/1398</f>
        <v>724.36123032904152</v>
      </c>
    </row>
    <row r="12" spans="1:14" x14ac:dyDescent="0.25">
      <c r="A12" s="14" t="s">
        <v>456</v>
      </c>
      <c r="B12" s="15" t="s">
        <v>457</v>
      </c>
      <c r="C12" s="17">
        <v>919562</v>
      </c>
      <c r="D12" s="17">
        <v>279408</v>
      </c>
      <c r="E12" s="17">
        <v>113</v>
      </c>
      <c r="F12" s="17">
        <v>8142</v>
      </c>
      <c r="G12" s="30">
        <v>7.1687613817046992E-3</v>
      </c>
      <c r="H12" s="31">
        <v>33.6</v>
      </c>
      <c r="I12" s="32">
        <v>63572</v>
      </c>
      <c r="J12" s="33">
        <v>11.8</v>
      </c>
      <c r="K12" s="34">
        <f t="shared" si="0"/>
        <v>3.2911083433545212</v>
      </c>
      <c r="L12" s="34">
        <f>3/(C12/100000)</f>
        <v>0.32624227621411062</v>
      </c>
      <c r="M12" s="34">
        <f>896/(C12/1000)</f>
        <v>0.97437693162614369</v>
      </c>
      <c r="N12" s="17">
        <f>C12/896</f>
        <v>1026.296875</v>
      </c>
    </row>
    <row r="13" spans="1:14" x14ac:dyDescent="0.25">
      <c r="A13" s="2" t="s">
        <v>435</v>
      </c>
      <c r="B13" s="3" t="s">
        <v>436</v>
      </c>
      <c r="C13" s="5">
        <v>847094</v>
      </c>
      <c r="D13" s="5">
        <v>283145</v>
      </c>
      <c r="E13" s="5">
        <v>460</v>
      </c>
      <c r="F13" s="5">
        <v>1843</v>
      </c>
      <c r="G13" s="35">
        <v>1.28420413117922E-3</v>
      </c>
      <c r="H13" s="36">
        <v>39.4</v>
      </c>
      <c r="I13" s="37">
        <v>93022</v>
      </c>
      <c r="J13" s="38">
        <v>15.7</v>
      </c>
      <c r="K13" s="39">
        <f t="shared" si="0"/>
        <v>2.9917321513712056</v>
      </c>
      <c r="L13" s="39">
        <f>4/(C13/100000)</f>
        <v>0.47220261269705605</v>
      </c>
      <c r="M13" s="39">
        <f>1057/(C13/1000)</f>
        <v>1.2477954040519705</v>
      </c>
      <c r="N13" s="5">
        <f>C13/1057</f>
        <v>801.41343424787135</v>
      </c>
    </row>
    <row r="14" spans="1:14" x14ac:dyDescent="0.25">
      <c r="A14" s="14" t="s">
        <v>474</v>
      </c>
      <c r="B14" s="15" t="s">
        <v>475</v>
      </c>
      <c r="C14" s="17">
        <v>789410</v>
      </c>
      <c r="D14" s="17">
        <v>248657</v>
      </c>
      <c r="E14" s="17">
        <v>564</v>
      </c>
      <c r="F14" s="17">
        <v>1399</v>
      </c>
      <c r="G14" s="30">
        <v>4.3534261682107063E-3</v>
      </c>
      <c r="H14" s="31">
        <v>33.4</v>
      </c>
      <c r="I14" s="32">
        <v>66419</v>
      </c>
      <c r="J14" s="33">
        <v>11.6</v>
      </c>
      <c r="K14" s="34">
        <f t="shared" si="0"/>
        <v>3.17469445863177</v>
      </c>
      <c r="L14" s="34">
        <f>2/(C14/100000)</f>
        <v>0.25335377053749003</v>
      </c>
      <c r="M14" s="34">
        <f>560/(C14/1000)</f>
        <v>0.70939055750497204</v>
      </c>
      <c r="N14" s="17">
        <f>C14/560</f>
        <v>1409.6607142857142</v>
      </c>
    </row>
    <row r="15" spans="1:14" x14ac:dyDescent="0.25">
      <c r="A15" s="2" t="s">
        <v>510</v>
      </c>
      <c r="B15" s="3" t="s">
        <v>511</v>
      </c>
      <c r="C15" s="5">
        <v>494336</v>
      </c>
      <c r="D15" s="5">
        <v>182412</v>
      </c>
      <c r="E15" s="5">
        <v>314</v>
      </c>
      <c r="F15" s="5">
        <v>1576</v>
      </c>
      <c r="G15" s="35">
        <v>3.731788524255944E-3</v>
      </c>
      <c r="H15" s="36">
        <v>39.700000000000003</v>
      </c>
      <c r="I15" s="37">
        <v>87654</v>
      </c>
      <c r="J15" s="38">
        <v>16.100000000000001</v>
      </c>
      <c r="K15" s="39">
        <f t="shared" si="0"/>
        <v>2.7099971493103525</v>
      </c>
      <c r="L15" s="39">
        <f>2/(C15/100000)</f>
        <v>0.40458311755567061</v>
      </c>
      <c r="M15" s="39">
        <f>395/(C15/1000)</f>
        <v>0.79905165717244953</v>
      </c>
      <c r="N15" s="5">
        <f>C15/395</f>
        <v>1251.4835443037975</v>
      </c>
    </row>
    <row r="16" spans="1:14" x14ac:dyDescent="0.25">
      <c r="A16" s="14" t="s">
        <v>547</v>
      </c>
      <c r="B16" s="15" t="s">
        <v>548</v>
      </c>
      <c r="C16" s="17">
        <v>480388</v>
      </c>
      <c r="D16" s="17">
        <v>138221</v>
      </c>
      <c r="E16" s="17">
        <v>100</v>
      </c>
      <c r="F16" s="17">
        <v>4824</v>
      </c>
      <c r="G16" s="30">
        <v>1.014811398663649E-2</v>
      </c>
      <c r="H16" s="31">
        <v>31.9</v>
      </c>
      <c r="I16" s="32">
        <v>57432</v>
      </c>
      <c r="J16" s="33">
        <v>10.6</v>
      </c>
      <c r="K16" s="34">
        <f t="shared" si="0"/>
        <v>3.4755066162160597</v>
      </c>
      <c r="L16" s="34">
        <f>1/(C16/100000)</f>
        <v>0.20816506657118827</v>
      </c>
      <c r="M16" s="34">
        <f>581/(C16/1000)</f>
        <v>1.2094390367786041</v>
      </c>
      <c r="N16" s="17">
        <f>C16/581</f>
        <v>826.829604130809</v>
      </c>
    </row>
    <row r="17" spans="1:14" x14ac:dyDescent="0.25">
      <c r="A17" s="2" t="s">
        <v>524</v>
      </c>
      <c r="B17" s="3" t="s">
        <v>525</v>
      </c>
      <c r="C17" s="5">
        <v>453491</v>
      </c>
      <c r="D17" s="5">
        <v>159836</v>
      </c>
      <c r="E17" s="5">
        <v>614</v>
      </c>
      <c r="F17" s="5">
        <v>738</v>
      </c>
      <c r="G17" s="35">
        <v>4.3546605963531949E-3</v>
      </c>
      <c r="H17" s="36">
        <v>38.200000000000003</v>
      </c>
      <c r="I17" s="37">
        <v>83442</v>
      </c>
      <c r="J17" s="38">
        <v>14.7</v>
      </c>
      <c r="K17" s="39">
        <f t="shared" si="0"/>
        <v>2.8372269075802699</v>
      </c>
      <c r="L17" s="39">
        <f>2/(C17/100000)</f>
        <v>0.44102308535340284</v>
      </c>
      <c r="M17" s="39">
        <f>450/(C17/1000)</f>
        <v>0.99230194204515643</v>
      </c>
      <c r="N17" s="5">
        <f>C17/450</f>
        <v>1007.7577777777777</v>
      </c>
    </row>
    <row r="18" spans="1:14" x14ac:dyDescent="0.25">
      <c r="A18" s="14" t="s">
        <v>501</v>
      </c>
      <c r="B18" s="15" t="s">
        <v>502</v>
      </c>
      <c r="C18" s="17">
        <v>446965</v>
      </c>
      <c r="D18" s="17">
        <v>150234</v>
      </c>
      <c r="E18" s="17">
        <v>163</v>
      </c>
      <c r="F18" s="17">
        <v>2737</v>
      </c>
      <c r="G18" s="30">
        <v>3.2696791011517778E-4</v>
      </c>
      <c r="H18" s="31">
        <v>38.6</v>
      </c>
      <c r="I18" s="32">
        <v>77212</v>
      </c>
      <c r="J18" s="33">
        <v>14.9</v>
      </c>
      <c r="K18" s="34">
        <f t="shared" si="0"/>
        <v>2.9751254709320127</v>
      </c>
      <c r="L18" s="34">
        <f>1/(C18/100000)</f>
        <v>0.2237311646325775</v>
      </c>
      <c r="M18" s="34">
        <f>531/(C18/1000)</f>
        <v>1.1880124841989865</v>
      </c>
      <c r="N18" s="17">
        <f>C18/531</f>
        <v>841.7419962335216</v>
      </c>
    </row>
    <row r="19" spans="1:14" x14ac:dyDescent="0.25">
      <c r="A19" s="2" t="s">
        <v>488</v>
      </c>
      <c r="B19" s="3" t="s">
        <v>489</v>
      </c>
      <c r="C19" s="5">
        <v>435898</v>
      </c>
      <c r="D19" s="5">
        <v>131745</v>
      </c>
      <c r="E19" s="5">
        <v>126</v>
      </c>
      <c r="F19" s="5">
        <v>3449</v>
      </c>
      <c r="G19" s="35">
        <v>1.410708018765411E-3</v>
      </c>
      <c r="H19" s="36">
        <v>33.799999999999997</v>
      </c>
      <c r="I19" s="37">
        <v>69432</v>
      </c>
      <c r="J19" s="38">
        <v>12.4</v>
      </c>
      <c r="K19" s="39">
        <f t="shared" si="0"/>
        <v>3.308649284602831</v>
      </c>
      <c r="L19" s="39">
        <f>2/(C19/100000)</f>
        <v>0.45882293564090681</v>
      </c>
      <c r="M19" s="39">
        <f>441/(C19/1000)</f>
        <v>1.0117045730881995</v>
      </c>
      <c r="N19" s="5">
        <f>C19/441</f>
        <v>988.43083900226759</v>
      </c>
    </row>
    <row r="20" spans="1:14" x14ac:dyDescent="0.25">
      <c r="A20" s="14" t="s">
        <v>538</v>
      </c>
      <c r="B20" s="15" t="s">
        <v>539</v>
      </c>
      <c r="C20" s="17">
        <v>290584</v>
      </c>
      <c r="D20" s="17">
        <v>85992</v>
      </c>
      <c r="E20" s="17">
        <v>151</v>
      </c>
      <c r="F20" s="17">
        <v>1929</v>
      </c>
      <c r="G20" s="30">
        <v>4.7976280657169154E-3</v>
      </c>
      <c r="H20" s="31">
        <v>31.7</v>
      </c>
      <c r="I20" s="32">
        <v>55680</v>
      </c>
      <c r="J20" s="33">
        <v>10.8</v>
      </c>
      <c r="K20" s="34">
        <f t="shared" si="0"/>
        <v>3.3791980649362729</v>
      </c>
      <c r="L20" s="34">
        <f>1/(C20/100000)</f>
        <v>0.34413457038240236</v>
      </c>
      <c r="M20" s="34">
        <f>186/(C20/1000)</f>
        <v>0.64009030091126828</v>
      </c>
      <c r="N20" s="17">
        <f>C20/186</f>
        <v>1562.2795698924731</v>
      </c>
    </row>
    <row r="21" spans="1:14" x14ac:dyDescent="0.25">
      <c r="A21" s="2" t="s">
        <v>577</v>
      </c>
      <c r="B21" s="3" t="s">
        <v>578</v>
      </c>
      <c r="C21" s="5">
        <v>283111</v>
      </c>
      <c r="D21" s="5">
        <v>108721</v>
      </c>
      <c r="E21" s="5">
        <v>86</v>
      </c>
      <c r="F21" s="5">
        <v>3299</v>
      </c>
      <c r="G21" s="35">
        <v>8.1083760586918958E-4</v>
      </c>
      <c r="H21" s="36">
        <v>41.3</v>
      </c>
      <c r="I21" s="37">
        <v>77891</v>
      </c>
      <c r="J21" s="38">
        <v>18.2</v>
      </c>
      <c r="K21" s="39">
        <f t="shared" si="0"/>
        <v>2.6040139439482712</v>
      </c>
      <c r="L21" s="39">
        <f>2/(C21/100000)</f>
        <v>0.70643669797358644</v>
      </c>
      <c r="M21" s="39">
        <f>276/(C21/1000)</f>
        <v>0.97488264320354923</v>
      </c>
      <c r="N21" s="5">
        <f>C21/276</f>
        <v>1025.7644927536232</v>
      </c>
    </row>
    <row r="22" spans="1:14" x14ac:dyDescent="0.25">
      <c r="A22" s="14" t="s">
        <v>569</v>
      </c>
      <c r="B22" s="15" t="s">
        <v>570</v>
      </c>
      <c r="C22" s="17">
        <v>223344</v>
      </c>
      <c r="D22" s="17">
        <v>83619</v>
      </c>
      <c r="E22" s="17">
        <v>137</v>
      </c>
      <c r="F22" s="17">
        <v>1636</v>
      </c>
      <c r="G22" s="30">
        <v>-6.3064368997573766E-3</v>
      </c>
      <c r="H22" s="31">
        <v>37</v>
      </c>
      <c r="I22" s="32">
        <v>57019</v>
      </c>
      <c r="J22" s="33">
        <v>15.4</v>
      </c>
      <c r="K22" s="34">
        <f t="shared" si="0"/>
        <v>2.6709719082983532</v>
      </c>
      <c r="L22" s="34">
        <f>1/(C22/100000)</f>
        <v>0.44773980944193714</v>
      </c>
      <c r="M22" s="34">
        <f>298/(C22/1000)</f>
        <v>1.3342646321369727</v>
      </c>
      <c r="N22" s="17">
        <f>C22/298</f>
        <v>749.47651006711408</v>
      </c>
    </row>
    <row r="23" spans="1:14" x14ac:dyDescent="0.25">
      <c r="A23" s="2" t="s">
        <v>591</v>
      </c>
      <c r="B23" s="3" t="s">
        <v>592</v>
      </c>
      <c r="C23" s="5">
        <v>182412</v>
      </c>
      <c r="D23" s="5">
        <v>52847</v>
      </c>
      <c r="E23" s="5">
        <v>41</v>
      </c>
      <c r="F23" s="5">
        <v>4482</v>
      </c>
      <c r="G23" s="35">
        <v>4.0617925156478897E-3</v>
      </c>
      <c r="H23" s="36">
        <v>30.8</v>
      </c>
      <c r="I23" s="37">
        <v>47616</v>
      </c>
      <c r="J23" s="38">
        <v>11.2</v>
      </c>
      <c r="K23" s="39">
        <f t="shared" si="0"/>
        <v>3.4517001911177552</v>
      </c>
      <c r="L23" s="39">
        <f>1/(C23/100000)</f>
        <v>0.54820954761748131</v>
      </c>
      <c r="M23" s="39">
        <f>161/(C23/1000)</f>
        <v>0.88261737166414489</v>
      </c>
      <c r="N23" s="5">
        <f>C23/161</f>
        <v>1132.9937888198758</v>
      </c>
    </row>
    <row r="24" spans="1:14" x14ac:dyDescent="0.25">
      <c r="A24" s="14" t="s">
        <v>556</v>
      </c>
      <c r="B24" s="15" t="s">
        <v>557</v>
      </c>
      <c r="C24" s="17">
        <v>179085</v>
      </c>
      <c r="D24" s="17">
        <v>69004</v>
      </c>
      <c r="E24" s="17">
        <v>31</v>
      </c>
      <c r="F24" s="17">
        <v>5856</v>
      </c>
      <c r="G24" s="30">
        <v>-5.617926125186426E-3</v>
      </c>
      <c r="H24" s="31">
        <v>39.4</v>
      </c>
      <c r="I24" s="32">
        <v>60187</v>
      </c>
      <c r="J24" s="33">
        <v>16.8</v>
      </c>
      <c r="K24" s="34">
        <f t="shared" si="0"/>
        <v>2.5952843313431107</v>
      </c>
      <c r="L24" s="34">
        <f>2/(C24/100000)</f>
        <v>1.1167881173744312</v>
      </c>
      <c r="M24" s="34">
        <f>493/(C24/1000)</f>
        <v>2.7528827093279724</v>
      </c>
      <c r="N24" s="17">
        <f>C24/493</f>
        <v>363.25557809330627</v>
      </c>
    </row>
    <row r="25" spans="1:14" x14ac:dyDescent="0.25">
      <c r="A25" s="2" t="s">
        <v>385</v>
      </c>
      <c r="B25" s="3" t="s">
        <v>386</v>
      </c>
      <c r="C25" s="5">
        <v>163024</v>
      </c>
      <c r="D25" s="5">
        <v>50781</v>
      </c>
      <c r="E25" s="5">
        <v>76</v>
      </c>
      <c r="F25" s="5">
        <v>2137</v>
      </c>
      <c r="G25" s="35">
        <v>1.1314627834999241E-2</v>
      </c>
      <c r="H25" s="36">
        <v>32.5</v>
      </c>
      <c r="I25" s="37">
        <v>58940</v>
      </c>
      <c r="J25" s="38">
        <v>11.2</v>
      </c>
      <c r="K25" s="39">
        <f t="shared" si="0"/>
        <v>3.2103345739548255</v>
      </c>
      <c r="L25" s="39">
        <f>1/(C25/100000)</f>
        <v>0.61340661497693594</v>
      </c>
      <c r="M25" s="39">
        <f>358/(C25/1000)</f>
        <v>2.1959956816174304</v>
      </c>
      <c r="N25" s="5">
        <f>C25/358</f>
        <v>455.37430167597768</v>
      </c>
    </row>
    <row r="26" spans="1:14" x14ac:dyDescent="0.25">
      <c r="A26" s="14" t="s">
        <v>600</v>
      </c>
      <c r="B26" s="15" t="s">
        <v>601</v>
      </c>
      <c r="C26" s="17">
        <v>154758</v>
      </c>
      <c r="D26" s="17">
        <v>48062</v>
      </c>
      <c r="E26" s="17">
        <v>111</v>
      </c>
      <c r="F26" s="17">
        <v>1391</v>
      </c>
      <c r="G26" s="30">
        <v>3.9623381718320912E-3</v>
      </c>
      <c r="H26" s="31">
        <v>31.8</v>
      </c>
      <c r="I26" s="32">
        <v>56203</v>
      </c>
      <c r="J26" s="33">
        <v>10.5</v>
      </c>
      <c r="K26" s="34">
        <f t="shared" si="0"/>
        <v>3.2199658774083475</v>
      </c>
      <c r="L26" s="34">
        <f>1/(C26/100000)</f>
        <v>0.64617014952377261</v>
      </c>
      <c r="M26" s="34">
        <f>173/(C26/1000)</f>
        <v>1.1178743586761266</v>
      </c>
      <c r="N26" s="17">
        <f>C26/173</f>
        <v>894.55491329479764</v>
      </c>
    </row>
    <row r="27" spans="1:14" x14ac:dyDescent="0.25">
      <c r="A27" s="2" t="s">
        <v>645</v>
      </c>
      <c r="B27" s="3" t="s">
        <v>646</v>
      </c>
      <c r="C27" s="5">
        <v>140530</v>
      </c>
      <c r="D27" s="5">
        <v>52064</v>
      </c>
      <c r="E27" s="5">
        <v>186</v>
      </c>
      <c r="F27" s="5">
        <v>754</v>
      </c>
      <c r="G27" s="35">
        <v>9.8815001514219007E-3</v>
      </c>
      <c r="H27" s="36">
        <v>42.5</v>
      </c>
      <c r="I27" s="37">
        <v>91338</v>
      </c>
      <c r="J27" s="38">
        <v>18.399999999999999</v>
      </c>
      <c r="K27" s="39">
        <f t="shared" si="0"/>
        <v>2.6991779348494163</v>
      </c>
      <c r="L27" s="39">
        <f>2/(C27/100000)</f>
        <v>1.4231836618515619</v>
      </c>
      <c r="M27" s="39">
        <f>318/(C27/1000)</f>
        <v>2.2628620223439833</v>
      </c>
      <c r="N27" s="5">
        <f>C27/318</f>
        <v>441.9182389937107</v>
      </c>
    </row>
    <row r="28" spans="1:14" ht="18" customHeight="1" x14ac:dyDescent="0.25">
      <c r="A28" s="50" t="s">
        <v>678</v>
      </c>
      <c r="B28" s="46"/>
      <c r="C28" s="40">
        <v>36571957</v>
      </c>
      <c r="D28" s="40">
        <v>12414908</v>
      </c>
      <c r="E28" s="40">
        <v>182</v>
      </c>
      <c r="F28" s="40">
        <v>201082</v>
      </c>
      <c r="G28" s="41"/>
      <c r="H28" s="41"/>
      <c r="I28" s="41"/>
      <c r="J28" s="41"/>
      <c r="K28" s="41"/>
      <c r="L28" s="42">
        <f>105/(C28/100000)</f>
        <v>0.28710522655377729</v>
      </c>
      <c r="M28" s="42">
        <f>38756/(C28/1000)</f>
        <v>1.0597190628874467</v>
      </c>
      <c r="N28" s="40">
        <f>C28/38756</f>
        <v>943.64632573020947</v>
      </c>
    </row>
    <row r="30" spans="1:14" ht="51.95" customHeight="1" x14ac:dyDescent="0.25">
      <c r="A30" s="49" t="s">
        <v>679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</sheetData>
  <mergeCells count="7">
    <mergeCell ref="A1:N1"/>
    <mergeCell ref="A2:B2"/>
    <mergeCell ref="C2:G2"/>
    <mergeCell ref="A30:N30"/>
    <mergeCell ref="A28:B28"/>
    <mergeCell ref="H2:K2"/>
    <mergeCell ref="L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workbookViewId="0">
      <selection activeCell="A28" sqref="A28:D28"/>
    </sheetView>
  </sheetViews>
  <sheetFormatPr defaultRowHeight="15" x14ac:dyDescent="0.25"/>
  <cols>
    <col min="1" max="1" width="23.28515625" bestFit="1" customWidth="1"/>
    <col min="2" max="2" width="72" bestFit="1" customWidth="1"/>
    <col min="3" max="3" width="41.28515625" bestFit="1" customWidth="1"/>
    <col min="4" max="4" width="65" bestFit="1" customWidth="1"/>
  </cols>
  <sheetData>
    <row r="1" spans="1:4" ht="21.95" customHeight="1" x14ac:dyDescent="0.25">
      <c r="A1" s="45" t="s">
        <v>680</v>
      </c>
      <c r="B1" s="46"/>
      <c r="C1" s="46"/>
      <c r="D1" s="46"/>
    </row>
    <row r="2" spans="1:4" x14ac:dyDescent="0.25">
      <c r="A2" s="1" t="s">
        <v>681</v>
      </c>
      <c r="B2" s="1" t="s">
        <v>682</v>
      </c>
      <c r="C2" s="1" t="s">
        <v>683</v>
      </c>
      <c r="D2" s="1" t="s">
        <v>684</v>
      </c>
    </row>
    <row r="3" spans="1:4" ht="18" customHeight="1" x14ac:dyDescent="0.25">
      <c r="A3" s="26" t="s">
        <v>1</v>
      </c>
      <c r="B3" s="27" t="s">
        <v>685</v>
      </c>
      <c r="C3" s="27" t="s">
        <v>686</v>
      </c>
      <c r="D3" s="27" t="s">
        <v>687</v>
      </c>
    </row>
    <row r="4" spans="1:4" ht="18" customHeight="1" x14ac:dyDescent="0.25">
      <c r="A4" s="28" t="s">
        <v>2</v>
      </c>
      <c r="B4" s="29" t="s">
        <v>688</v>
      </c>
      <c r="C4" s="29" t="s">
        <v>686</v>
      </c>
      <c r="D4" s="29"/>
    </row>
    <row r="5" spans="1:4" ht="18" customHeight="1" x14ac:dyDescent="0.25">
      <c r="A5" s="26" t="s">
        <v>3</v>
      </c>
      <c r="B5" s="27" t="s">
        <v>689</v>
      </c>
      <c r="C5" s="27" t="s">
        <v>686</v>
      </c>
      <c r="D5" s="27"/>
    </row>
    <row r="6" spans="1:4" ht="18" customHeight="1" x14ac:dyDescent="0.25">
      <c r="A6" s="28" t="s">
        <v>4</v>
      </c>
      <c r="B6" s="29" t="s">
        <v>690</v>
      </c>
      <c r="C6" s="29" t="s">
        <v>686</v>
      </c>
      <c r="D6" s="29"/>
    </row>
    <row r="7" spans="1:4" ht="18" customHeight="1" x14ac:dyDescent="0.25">
      <c r="A7" s="26" t="s">
        <v>5</v>
      </c>
      <c r="B7" s="27" t="s">
        <v>691</v>
      </c>
      <c r="C7" s="27" t="s">
        <v>686</v>
      </c>
      <c r="D7" s="27"/>
    </row>
    <row r="8" spans="1:4" ht="18" customHeight="1" x14ac:dyDescent="0.25">
      <c r="A8" s="28" t="s">
        <v>6</v>
      </c>
      <c r="B8" s="29" t="s">
        <v>692</v>
      </c>
      <c r="C8" s="29" t="s">
        <v>686</v>
      </c>
      <c r="D8" s="29" t="s">
        <v>693</v>
      </c>
    </row>
    <row r="9" spans="1:4" ht="18" customHeight="1" x14ac:dyDescent="0.25">
      <c r="A9" s="26" t="s">
        <v>7</v>
      </c>
      <c r="B9" s="27" t="s">
        <v>694</v>
      </c>
      <c r="C9" s="27" t="s">
        <v>686</v>
      </c>
      <c r="D9" s="27"/>
    </row>
    <row r="10" spans="1:4" ht="18" customHeight="1" x14ac:dyDescent="0.25">
      <c r="A10" s="28" t="s">
        <v>8</v>
      </c>
      <c r="B10" s="29" t="s">
        <v>695</v>
      </c>
      <c r="C10" s="29" t="s">
        <v>686</v>
      </c>
      <c r="D10" s="29"/>
    </row>
    <row r="11" spans="1:4" ht="18" customHeight="1" x14ac:dyDescent="0.25">
      <c r="A11" s="26" t="s">
        <v>9</v>
      </c>
      <c r="B11" s="27" t="s">
        <v>696</v>
      </c>
      <c r="C11" s="27" t="s">
        <v>686</v>
      </c>
      <c r="D11" s="27" t="s">
        <v>697</v>
      </c>
    </row>
    <row r="12" spans="1:4" ht="18" customHeight="1" x14ac:dyDescent="0.25">
      <c r="A12" s="28" t="s">
        <v>10</v>
      </c>
      <c r="B12" s="29" t="s">
        <v>698</v>
      </c>
      <c r="C12" s="29" t="s">
        <v>686</v>
      </c>
      <c r="D12" s="29" t="s">
        <v>699</v>
      </c>
    </row>
    <row r="13" spans="1:4" ht="18" customHeight="1" x14ac:dyDescent="0.25">
      <c r="A13" s="26" t="s">
        <v>700</v>
      </c>
      <c r="B13" s="27" t="s">
        <v>701</v>
      </c>
      <c r="C13" s="27" t="s">
        <v>686</v>
      </c>
      <c r="D13" s="27"/>
    </row>
    <row r="14" spans="1:4" ht="18" customHeight="1" x14ac:dyDescent="0.25">
      <c r="A14" s="28" t="s">
        <v>12</v>
      </c>
      <c r="B14" s="29" t="s">
        <v>702</v>
      </c>
      <c r="C14" s="29" t="s">
        <v>703</v>
      </c>
      <c r="D14" s="29" t="s">
        <v>704</v>
      </c>
    </row>
    <row r="15" spans="1:4" ht="18" customHeight="1" x14ac:dyDescent="0.25">
      <c r="A15" s="26" t="s">
        <v>13</v>
      </c>
      <c r="B15" s="27" t="s">
        <v>705</v>
      </c>
      <c r="C15" s="27" t="s">
        <v>706</v>
      </c>
      <c r="D15" s="27" t="s">
        <v>707</v>
      </c>
    </row>
    <row r="16" spans="1:4" ht="18" customHeight="1" x14ac:dyDescent="0.25">
      <c r="A16" s="28" t="s">
        <v>708</v>
      </c>
      <c r="B16" s="29" t="s">
        <v>709</v>
      </c>
      <c r="C16" s="29" t="s">
        <v>710</v>
      </c>
      <c r="D16" s="29" t="s">
        <v>711</v>
      </c>
    </row>
    <row r="17" spans="1:4" ht="18" customHeight="1" x14ac:dyDescent="0.25">
      <c r="A17" s="26" t="s">
        <v>712</v>
      </c>
      <c r="B17" s="27" t="s">
        <v>713</v>
      </c>
      <c r="C17" s="27" t="s">
        <v>710</v>
      </c>
      <c r="D17" s="27" t="s">
        <v>714</v>
      </c>
    </row>
    <row r="18" spans="1:4" ht="18" customHeight="1" x14ac:dyDescent="0.25">
      <c r="A18" s="28" t="s">
        <v>715</v>
      </c>
      <c r="B18" s="29" t="s">
        <v>716</v>
      </c>
      <c r="C18" s="29" t="s">
        <v>717</v>
      </c>
      <c r="D18" s="29" t="s">
        <v>718</v>
      </c>
    </row>
    <row r="19" spans="1:4" ht="18" customHeight="1" x14ac:dyDescent="0.25">
      <c r="A19" s="28" t="s">
        <v>719</v>
      </c>
      <c r="B19" s="29" t="s">
        <v>720</v>
      </c>
      <c r="C19" s="29" t="s">
        <v>710</v>
      </c>
      <c r="D19" s="29" t="s">
        <v>721</v>
      </c>
    </row>
    <row r="20" spans="1:4" ht="18" customHeight="1" x14ac:dyDescent="0.25">
      <c r="A20" s="26" t="s">
        <v>722</v>
      </c>
      <c r="B20" s="27" t="s">
        <v>723</v>
      </c>
      <c r="C20" s="27" t="s">
        <v>710</v>
      </c>
      <c r="D20" s="27" t="s">
        <v>724</v>
      </c>
    </row>
    <row r="21" spans="1:4" x14ac:dyDescent="0.25">
      <c r="A21" s="28" t="s">
        <v>725</v>
      </c>
      <c r="B21" s="29" t="s">
        <v>726</v>
      </c>
      <c r="C21" s="29" t="s">
        <v>710</v>
      </c>
      <c r="D21" s="29" t="s">
        <v>727</v>
      </c>
    </row>
    <row r="23" spans="1:4" ht="80.099999999999994" customHeight="1" x14ac:dyDescent="0.25">
      <c r="A23" s="46"/>
      <c r="B23" s="46"/>
      <c r="C23" s="46"/>
      <c r="D23" s="46"/>
    </row>
    <row r="24" spans="1:4" ht="69" customHeight="1" x14ac:dyDescent="0.25">
      <c r="A24" s="54" t="s">
        <v>728</v>
      </c>
      <c r="B24" s="54"/>
      <c r="C24" s="54"/>
      <c r="D24" s="54"/>
    </row>
    <row r="26" spans="1:4" ht="90" customHeight="1" x14ac:dyDescent="0.25">
      <c r="A26" s="49" t="s">
        <v>729</v>
      </c>
      <c r="B26" s="46"/>
      <c r="C26" s="46"/>
      <c r="D26" s="46"/>
    </row>
    <row r="28" spans="1:4" ht="18" customHeight="1" x14ac:dyDescent="0.25">
      <c r="A28" s="53" t="s">
        <v>730</v>
      </c>
      <c r="B28" s="46"/>
      <c r="C28" s="46"/>
      <c r="D28" s="46"/>
    </row>
    <row r="29" spans="1:4" ht="18" customHeight="1" x14ac:dyDescent="0.25">
      <c r="A29" s="26" t="s">
        <v>731</v>
      </c>
      <c r="B29" s="43" t="s">
        <v>732</v>
      </c>
      <c r="C29" s="43" t="s">
        <v>733</v>
      </c>
      <c r="D29" s="43"/>
    </row>
    <row r="30" spans="1:4" ht="18" customHeight="1" x14ac:dyDescent="0.25">
      <c r="A30" s="28" t="s">
        <v>734</v>
      </c>
      <c r="B30" s="44" t="s">
        <v>735</v>
      </c>
      <c r="C30" s="44" t="s">
        <v>736</v>
      </c>
      <c r="D30" s="44"/>
    </row>
    <row r="31" spans="1:4" ht="18" customHeight="1" x14ac:dyDescent="0.25">
      <c r="A31" s="26" t="s">
        <v>737</v>
      </c>
      <c r="B31" s="43" t="s">
        <v>738</v>
      </c>
      <c r="C31" s="43" t="s">
        <v>739</v>
      </c>
      <c r="D31" s="43"/>
    </row>
    <row r="32" spans="1:4" ht="18" customHeight="1" x14ac:dyDescent="0.25">
      <c r="A32" s="28" t="s">
        <v>740</v>
      </c>
      <c r="B32" s="44" t="s">
        <v>741</v>
      </c>
      <c r="C32" s="44" t="s">
        <v>742</v>
      </c>
      <c r="D32" s="44" t="s">
        <v>743</v>
      </c>
    </row>
    <row r="33" spans="1:4" ht="18" customHeight="1" x14ac:dyDescent="0.25">
      <c r="A33" s="26" t="s">
        <v>744</v>
      </c>
      <c r="B33" s="43" t="s">
        <v>745</v>
      </c>
      <c r="C33" s="43" t="s">
        <v>746</v>
      </c>
      <c r="D33" s="43" t="s">
        <v>747</v>
      </c>
    </row>
    <row r="34" spans="1:4" ht="18" customHeight="1" x14ac:dyDescent="0.25">
      <c r="A34" s="28" t="s">
        <v>748</v>
      </c>
      <c r="B34" s="44" t="s">
        <v>749</v>
      </c>
      <c r="C34" s="44" t="s">
        <v>750</v>
      </c>
      <c r="D34" s="44"/>
    </row>
    <row r="35" spans="1:4" ht="18" customHeight="1" x14ac:dyDescent="0.25">
      <c r="A35" s="26" t="s">
        <v>751</v>
      </c>
      <c r="B35" s="43" t="s">
        <v>752</v>
      </c>
      <c r="C35" s="43" t="s">
        <v>753</v>
      </c>
      <c r="D35" s="43"/>
    </row>
    <row r="36" spans="1:4" ht="18" customHeight="1" x14ac:dyDescent="0.25">
      <c r="A36" s="28" t="s">
        <v>754</v>
      </c>
      <c r="B36" s="44" t="s">
        <v>755</v>
      </c>
      <c r="C36" s="44" t="s">
        <v>756</v>
      </c>
      <c r="D36" s="44"/>
    </row>
    <row r="37" spans="1:4" ht="18" customHeight="1" x14ac:dyDescent="0.25">
      <c r="A37" s="26" t="s">
        <v>757</v>
      </c>
      <c r="B37" s="43" t="s">
        <v>758</v>
      </c>
      <c r="C37" s="43" t="s">
        <v>759</v>
      </c>
      <c r="D37" s="43"/>
    </row>
    <row r="38" spans="1:4" ht="18" customHeight="1" x14ac:dyDescent="0.25">
      <c r="A38" s="28" t="s">
        <v>760</v>
      </c>
      <c r="B38" s="44" t="s">
        <v>761</v>
      </c>
      <c r="C38" s="44" t="s">
        <v>762</v>
      </c>
      <c r="D38" s="44" t="s">
        <v>763</v>
      </c>
    </row>
    <row r="39" spans="1:4" ht="18" customHeight="1" x14ac:dyDescent="0.25">
      <c r="A39" s="26" t="s">
        <v>764</v>
      </c>
      <c r="B39" s="43" t="s">
        <v>765</v>
      </c>
      <c r="C39" s="43" t="s">
        <v>762</v>
      </c>
      <c r="D39" s="43" t="s">
        <v>766</v>
      </c>
    </row>
    <row r="40" spans="1:4" ht="18" customHeight="1" x14ac:dyDescent="0.25">
      <c r="A40" s="28" t="s">
        <v>767</v>
      </c>
      <c r="B40" s="44" t="s">
        <v>768</v>
      </c>
      <c r="C40" s="44" t="s">
        <v>762</v>
      </c>
      <c r="D40" s="44" t="s">
        <v>769</v>
      </c>
    </row>
  </sheetData>
  <mergeCells count="5">
    <mergeCell ref="A1:D1"/>
    <mergeCell ref="A23:D23"/>
    <mergeCell ref="A26:D26"/>
    <mergeCell ref="A28:D28"/>
    <mergeCell ref="A24:D2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DBDD2D50AF045B52A43BE2BF86C54" ma:contentTypeVersion="12" ma:contentTypeDescription="Create a new document." ma:contentTypeScope="" ma:versionID="86644c276d7e6e4c7404e60bd9f2a36f">
  <xsd:schema xmlns:xsd="http://www.w3.org/2001/XMLSchema" xmlns:xs="http://www.w3.org/2001/XMLSchema" xmlns:p="http://schemas.microsoft.com/office/2006/metadata/properties" xmlns:ns2="3b750203-d231-4c5e-9d25-03c6166bf677" xmlns:ns3="adc681d3-2307-4348-9f12-a4c9702f56ce" targetNamespace="http://schemas.microsoft.com/office/2006/metadata/properties" ma:root="true" ma:fieldsID="026fc4e14ff7da00b77c1450b9fab7e4" ns2:_="" ns3:_="">
    <xsd:import namespace="3b750203-d231-4c5e-9d25-03c6166bf677"/>
    <xsd:import namespace="adc681d3-2307-4348-9f12-a4c9702f56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50203-d231-4c5e-9d25-03c6166bf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64f783-f6e5-4af9-8ab7-ee46afb642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681d3-2307-4348-9f12-a4c9702f56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47a51a-0c75-4bf6-869a-26fdef17b017}" ma:internalName="TaxCatchAll" ma:showField="CatchAllData" ma:web="adc681d3-2307-4348-9f12-a4c9702f56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750203-d231-4c5e-9d25-03c6166bf677">
      <Terms xmlns="http://schemas.microsoft.com/office/infopath/2007/PartnerControls"/>
    </lcf76f155ced4ddcb4097134ff3c332f>
    <TaxCatchAll xmlns="adc681d3-2307-4348-9f12-a4c9702f56ce" xsi:nil="true"/>
  </documentManagement>
</p:properties>
</file>

<file path=customXml/itemProps1.xml><?xml version="1.0" encoding="utf-8"?>
<ds:datastoreItem xmlns:ds="http://schemas.openxmlformats.org/officeDocument/2006/customXml" ds:itemID="{915C4837-C8FE-4BF5-B866-F17B2619E39F}"/>
</file>

<file path=customXml/itemProps2.xml><?xml version="1.0" encoding="utf-8"?>
<ds:datastoreItem xmlns:ds="http://schemas.openxmlformats.org/officeDocument/2006/customXml" ds:itemID="{D46E92C5-2672-47FE-AE0C-B6F99925B316}"/>
</file>

<file path=customXml/itemProps3.xml><?xml version="1.0" encoding="utf-8"?>
<ds:datastoreItem xmlns:ds="http://schemas.openxmlformats.org/officeDocument/2006/customXml" ds:itemID="{BC84B2B6-2655-4F5A-A7F2-251F1C61C6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 Acute Care Hospitals</vt:lpstr>
      <vt:lpstr>CBSA Summary</vt:lpstr>
      <vt:lpstr>County Summary</vt:lpstr>
      <vt:lpstr>Census by CBSA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Reynolds</cp:lastModifiedBy>
  <dcterms:created xsi:type="dcterms:W3CDTF">2026-03-04T21:14:44Z</dcterms:created>
  <dcterms:modified xsi:type="dcterms:W3CDTF">2026-03-04T23:32:31Z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0x010100597DBDD2D50AF045B52A43BE2BF86C54</vt:lpwstr>
  </property>
</Properties>
</file>